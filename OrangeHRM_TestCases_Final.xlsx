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cenario" sheetId="1" state="visible" r:id="rId1"/>
    <sheet xmlns:r="http://schemas.openxmlformats.org/officeDocument/2006/relationships" name="Leave" sheetId="2" state="visible" r:id="rId2"/>
    <sheet xmlns:r="http://schemas.openxmlformats.org/officeDocument/2006/relationships" name="Recruitment" sheetId="3" state="visible" r:id="rId3"/>
    <sheet xmlns:r="http://schemas.openxmlformats.org/officeDocument/2006/relationships" name="My Info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  <font>
      <name val="Arial"/>
      <b val="1"/>
      <color theme="1"/>
      <sz val="10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theme="0"/>
        <bgColor indexed="64"/>
      </patternFill>
    </fill>
    <fill>
      <patternFill patternType="solid">
        <fgColor rgb="003F51B5"/>
        <bgColor rgb="003F51B5"/>
      </patternFill>
    </fill>
    <fill>
      <patternFill patternType="solid">
        <fgColor rgb="00C8E6C9"/>
        <bgColor rgb="00C8E6C9"/>
      </patternFill>
    </fill>
    <fill>
      <patternFill patternType="solid">
        <fgColor rgb="00FFEBEE"/>
        <bgColor rgb="00FFEBE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center"/>
    </xf>
    <xf numFmtId="0" fontId="0" fillId="5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/>
    </xf>
    <xf numFmtId="0" fontId="0" fillId="8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tabSelected="1" workbookViewId="0">
      <pane ySplit="1" topLeftCell="A27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0" customWidth="1" min="3" max="3"/>
    <col width="12" customWidth="1" min="4" max="4"/>
  </cols>
  <sheetData>
    <row r="1" ht="27.95" customHeight="1">
      <c r="A1" s="1" t="inlineStr">
        <is>
          <t>Scenario ID</t>
        </is>
      </c>
      <c r="B1" s="1" t="inlineStr">
        <is>
          <t>Chức năng (Feature)</t>
        </is>
      </c>
      <c r="C1" s="1" t="inlineStr">
        <is>
          <t>Mô tả Kịch bản (Scenario Description)</t>
        </is>
      </c>
      <c r="D1" s="1" t="inlineStr">
        <is>
          <t>Mức ưu tiên (Priority)</t>
        </is>
      </c>
    </row>
    <row r="2" ht="36" customHeight="1">
      <c r="A2" s="2" t="inlineStr">
        <is>
          <t>SC-L01</t>
        </is>
      </c>
      <c r="B2" s="3" t="inlineStr">
        <is>
          <t>Nghỉ Phép</t>
        </is>
      </c>
      <c r="C2" s="3" t="inlineStr">
        <is>
          <t>Kiểm tra nộp đơn nghỉ phép năm với ngày hợp lệ, không hợp lệ và vượt số dư</t>
        </is>
      </c>
      <c r="D2" s="2" t="inlineStr">
        <is>
          <t>High</t>
        </is>
      </c>
    </row>
    <row r="3" ht="36" customHeight="1">
      <c r="A3" s="2" t="inlineStr">
        <is>
          <t>SC-L02</t>
        </is>
      </c>
      <c r="B3" s="3" t="inlineStr">
        <is>
          <t>Nghỉ Phép</t>
        </is>
      </c>
      <c r="C3" s="3" t="inlineStr">
        <is>
          <t>Kiểm tra nộp đơn nghỉ bệnh có/không đính kèm giấy tờ</t>
        </is>
      </c>
      <c r="D3" s="2" t="inlineStr">
        <is>
          <t>Medium</t>
        </is>
      </c>
    </row>
    <row r="4" ht="36" customHeight="1">
      <c r="A4" s="2" t="inlineStr">
        <is>
          <t>SC-L03</t>
        </is>
      </c>
      <c r="B4" s="3" t="inlineStr">
        <is>
          <t>Nghỉ Phép</t>
        </is>
      </c>
      <c r="C4" s="3" t="inlineStr">
        <is>
          <t>Kiểm tra quản lý phê duyệt hoặc từ chối đơn nghỉ phép</t>
        </is>
      </c>
      <c r="D4" s="2" t="inlineStr">
        <is>
          <t>High</t>
        </is>
      </c>
    </row>
    <row r="5" ht="36" customHeight="1">
      <c r="A5" s="2" t="inlineStr">
        <is>
          <t>SC-L04</t>
        </is>
      </c>
      <c r="B5" s="3" t="inlineStr">
        <is>
          <t>Nghỉ Phép</t>
        </is>
      </c>
      <c r="C5" s="3" t="inlineStr">
        <is>
          <t>Kiểm tra nhân viên huỷ đơn nghỉ đã duyệt hoặc bị từ chối</t>
        </is>
      </c>
      <c r="D5" s="2" t="inlineStr">
        <is>
          <t>High</t>
        </is>
      </c>
    </row>
    <row r="6" ht="36" customHeight="1">
      <c r="A6" s="2" t="inlineStr">
        <is>
          <t>SC-L05</t>
        </is>
      </c>
      <c r="B6" s="3" t="inlineStr">
        <is>
          <t>Nghỉ Phép</t>
        </is>
      </c>
      <c r="C6" s="3" t="inlineStr">
        <is>
          <t>Kiểm tra Admin cấp phát số ngày phép cho nhân viên</t>
        </is>
      </c>
      <c r="D6" s="2" t="inlineStr">
        <is>
          <t>High</t>
        </is>
      </c>
    </row>
    <row r="7" ht="36" customHeight="1">
      <c r="A7" s="2" t="inlineStr">
        <is>
          <t>SC-L06</t>
        </is>
      </c>
      <c r="B7" s="3" t="inlineStr">
        <is>
          <t>Nghỉ Phép</t>
        </is>
      </c>
      <c r="C7" s="3" t="inlineStr">
        <is>
          <t>Kiểm tra xuất báo cáo tình hình sử dụng phép</t>
        </is>
      </c>
      <c r="D7" s="2" t="inlineStr">
        <is>
          <t>Medium</t>
        </is>
      </c>
    </row>
    <row r="8" ht="36" customHeight="1">
      <c r="A8" s="2" t="inlineStr">
        <is>
          <t>SC-L07</t>
        </is>
      </c>
      <c r="B8" s="3" t="inlineStr">
        <is>
          <t>Nghỉ Phép</t>
        </is>
      </c>
      <c r="C8" s="3" t="inlineStr">
        <is>
          <t>Kiểm tra lịch nghỉ phép cá nhân và nhóm trên giao diện calendar</t>
        </is>
      </c>
      <c r="D8" s="2" t="inlineStr">
        <is>
          <t>Medium</t>
        </is>
      </c>
    </row>
    <row r="9" ht="36" customHeight="1">
      <c r="A9" s="2" t="inlineStr">
        <is>
          <t>SC-L08</t>
        </is>
      </c>
      <c r="B9" s="3" t="inlineStr">
        <is>
          <t>Nghỉ Phép</t>
        </is>
      </c>
      <c r="C9" s="3" t="inlineStr">
        <is>
          <t>Kiểm tra Admin tạo mới loại phép và lỗi trùng tên</t>
        </is>
      </c>
      <c r="D9" s="2" t="inlineStr">
        <is>
          <t>Medium</t>
        </is>
      </c>
    </row>
    <row r="10" ht="36" customHeight="1">
      <c r="A10" s="2" t="inlineStr">
        <is>
          <t>SC-L09</t>
        </is>
      </c>
      <c r="B10" s="3" t="inlineStr">
        <is>
          <t>Nghỉ Phép</t>
        </is>
      </c>
      <c r="C10" s="3" t="inlineStr">
        <is>
          <t>Kiểm tra Admin cấu hình ngày làm việc trong tuần</t>
        </is>
      </c>
      <c r="D10" s="2" t="inlineStr">
        <is>
          <t>Medium</t>
        </is>
      </c>
    </row>
    <row r="11" ht="36" customHeight="1">
      <c r="A11" s="2" t="inlineStr">
        <is>
          <t>SC-L10</t>
        </is>
      </c>
      <c r="B11" s="3" t="inlineStr">
        <is>
          <t>Nghỉ Phép</t>
        </is>
      </c>
      <c r="C11" s="3" t="inlineStr">
        <is>
          <t>Kiểm tra Admin thêm ngày lễ, kiểm tra trùng ngày</t>
        </is>
      </c>
      <c r="D11" s="2" t="inlineStr">
        <is>
          <t>Medium</t>
        </is>
      </c>
    </row>
    <row r="12" ht="36" customHeight="1">
      <c r="A12" s="2" t="inlineStr">
        <is>
          <t>SC-R01</t>
        </is>
      </c>
      <c r="B12" s="3" t="inlineStr">
        <is>
          <t>Tuyển Dụng</t>
        </is>
      </c>
      <c r="C12" s="3" t="inlineStr">
        <is>
          <t>Kiểm tra tạo vị trí tuyển dụng mới đầy đủ và thiếu thông tin</t>
        </is>
      </c>
      <c r="D12" s="2" t="inlineStr">
        <is>
          <t>High</t>
        </is>
      </c>
    </row>
    <row r="13" ht="36" customHeight="1">
      <c r="A13" s="2" t="inlineStr">
        <is>
          <t>SC-R02</t>
        </is>
      </c>
      <c r="B13" s="3" t="inlineStr">
        <is>
          <t>Tuyển Dụng</t>
        </is>
      </c>
      <c r="C13" s="3" t="inlineStr">
        <is>
          <t>Kiểm tra đăng và gỡ tin tuyển dụng trên careers page</t>
        </is>
      </c>
      <c r="D13" s="2" t="inlineStr">
        <is>
          <t>High</t>
        </is>
      </c>
    </row>
    <row r="14" ht="36" customHeight="1">
      <c r="A14" s="2" t="inlineStr">
        <is>
          <t>SC-R03</t>
        </is>
      </c>
      <c r="B14" s="3" t="inlineStr">
        <is>
          <t>Tuyển Dụng</t>
        </is>
      </c>
      <c r="C14" s="3" t="inlineStr">
        <is>
          <t>Kiểm tra ứng viên nộp hồ sơ qua careers page</t>
        </is>
      </c>
      <c r="D14" s="2" t="inlineStr">
        <is>
          <t>High</t>
        </is>
      </c>
    </row>
    <row r="15" ht="36" customHeight="1">
      <c r="A15" s="2" t="inlineStr">
        <is>
          <t>SC-R04</t>
        </is>
      </c>
      <c r="B15" s="3" t="inlineStr">
        <is>
          <t>Tuyển Dụng</t>
        </is>
      </c>
      <c r="C15" s="3" t="inlineStr">
        <is>
          <t>Kiểm tra HR xem danh sách và lọc ứng viên</t>
        </is>
      </c>
      <c r="D15" s="2" t="inlineStr">
        <is>
          <t>Medium</t>
        </is>
      </c>
    </row>
    <row r="16" ht="36" customHeight="1">
      <c r="A16" s="2" t="inlineStr">
        <is>
          <t>SC-R05</t>
        </is>
      </c>
      <c r="B16" s="3" t="inlineStr">
        <is>
          <t>Tuyển Dụng</t>
        </is>
      </c>
      <c r="C16" s="3" t="inlineStr">
        <is>
          <t>Kiểm tra lên lịch phỏng vấn và nhiều người phỏng vấn</t>
        </is>
      </c>
      <c r="D16" s="2" t="inlineStr">
        <is>
          <t>High</t>
        </is>
      </c>
    </row>
    <row r="17" ht="36" customHeight="1">
      <c r="A17" s="2" t="inlineStr">
        <is>
          <t>SC-R06</t>
        </is>
      </c>
      <c r="B17" s="3" t="inlineStr">
        <is>
          <t>Tuyển Dụng</t>
        </is>
      </c>
      <c r="C17" s="3" t="inlineStr">
        <is>
          <t>Kiểm tra ghi nhận kết quả phỏng vấn Đạt / Không đạt</t>
        </is>
      </c>
      <c r="D17" s="2" t="inlineStr">
        <is>
          <t>Medium</t>
        </is>
      </c>
    </row>
    <row r="18" ht="36" customHeight="1">
      <c r="A18" s="2" t="inlineStr">
        <is>
          <t>SC-R07</t>
        </is>
      </c>
      <c r="B18" s="3" t="inlineStr">
        <is>
          <t>Tuyển Dụng</t>
        </is>
      </c>
      <c r="C18" s="3" t="inlineStr">
        <is>
          <t>Kiểm tra gửi đề nghị làm việc cho ứng viên</t>
        </is>
      </c>
      <c r="D18" s="2" t="inlineStr">
        <is>
          <t>High</t>
        </is>
      </c>
    </row>
    <row r="19" ht="36" customHeight="1">
      <c r="A19" s="2" t="inlineStr">
        <is>
          <t>SC-R08</t>
        </is>
      </c>
      <c r="B19" s="3" t="inlineStr">
        <is>
          <t>Tuyển Dụng</t>
        </is>
      </c>
      <c r="C19" s="3" t="inlineStr">
        <is>
          <t>Kiểm tra chuyển đổi ứng viên thành nhân viên</t>
        </is>
      </c>
      <c r="D19" s="2" t="inlineStr">
        <is>
          <t>High</t>
        </is>
      </c>
    </row>
    <row r="20" ht="36" customHeight="1">
      <c r="A20" s="2" t="inlineStr">
        <is>
          <t>SC-R09</t>
        </is>
      </c>
      <c r="B20" s="3" t="inlineStr">
        <is>
          <t>Tuyển Dụng</t>
        </is>
      </c>
      <c r="C20" s="3" t="inlineStr">
        <is>
          <t>Kiểm tra từ chối hồ sơ ứng viên</t>
        </is>
      </c>
      <c r="D20" s="2" t="inlineStr">
        <is>
          <t>Medium</t>
        </is>
      </c>
    </row>
    <row r="21" ht="36" customHeight="1">
      <c r="A21" s="2" t="inlineStr">
        <is>
          <t>SC-R10</t>
        </is>
      </c>
      <c r="B21" s="3" t="inlineStr">
        <is>
          <t>Tuyển Dụng</t>
        </is>
      </c>
      <c r="C21" s="3" t="inlineStr">
        <is>
          <t>Kiểm tra tìm kiếm ứng viên theo tên</t>
        </is>
      </c>
      <c r="D21" s="2" t="inlineStr">
        <is>
          <t>Medium</t>
        </is>
      </c>
    </row>
    <row r="22" ht="36" customHeight="1">
      <c r="A22" s="2" t="inlineStr">
        <is>
          <t>SC-I01</t>
        </is>
      </c>
      <c r="B22" s="3" t="inlineStr">
        <is>
          <t>Thông Tin CN</t>
        </is>
      </c>
      <c r="C22" s="3" t="inlineStr">
        <is>
          <t>Kiểm tra cập nhật thông tin cá nhân: tên, giới tính, ngày sinh, quốc tịch</t>
        </is>
      </c>
      <c r="D22" s="2" t="inlineStr">
        <is>
          <t>High</t>
        </is>
      </c>
    </row>
    <row r="23" ht="36" customHeight="1">
      <c r="A23" s="2" t="inlineStr">
        <is>
          <t>SC-I02</t>
        </is>
      </c>
      <c r="B23" s="3" t="inlineStr">
        <is>
          <t>Thông Tin CN</t>
        </is>
      </c>
      <c r="C23" s="3" t="inlineStr">
        <is>
          <t>Kiểm tra cập nhật địa chỉ và số điện thoại liên hệ</t>
        </is>
      </c>
      <c r="D23" s="2" t="inlineStr">
        <is>
          <t>Medium</t>
        </is>
      </c>
    </row>
    <row r="24" ht="36" customHeight="1">
      <c r="A24" s="2" t="inlineStr">
        <is>
          <t>SC-I03</t>
        </is>
      </c>
      <c r="B24" s="3" t="inlineStr">
        <is>
          <t>Thông Tin CN</t>
        </is>
      </c>
      <c r="C24" s="3" t="inlineStr">
        <is>
          <t>Kiểm tra thêm và xóa liên hệ khẩn cấp</t>
        </is>
      </c>
      <c r="D24" s="2" t="inlineStr">
        <is>
          <t>Medium</t>
        </is>
      </c>
    </row>
    <row r="25" ht="36" customHeight="1">
      <c r="A25" s="2" t="inlineStr">
        <is>
          <t>SC-I04</t>
        </is>
      </c>
      <c r="B25" s="3" t="inlineStr">
        <is>
          <t>Thông Tin CN</t>
        </is>
      </c>
      <c r="C25" s="3" t="inlineStr">
        <is>
          <t>Kiểm tra thêm người phụ thuộc và validate ngày sinh</t>
        </is>
      </c>
      <c r="D25" s="2" t="inlineStr">
        <is>
          <t>Medium</t>
        </is>
      </c>
    </row>
    <row r="26" ht="36" customHeight="1">
      <c r="A26" s="2" t="inlineStr">
        <is>
          <t>SC-I05</t>
        </is>
      </c>
      <c r="B26" s="3" t="inlineStr">
        <is>
          <t>Thông Tin CN</t>
        </is>
      </c>
      <c r="C26" s="3" t="inlineStr">
        <is>
          <t>Kiểm tra thêm thông tin hộ chiếu / visa</t>
        </is>
      </c>
      <c r="D26" s="2" t="inlineStr">
        <is>
          <t>Medium</t>
        </is>
      </c>
    </row>
    <row r="27" ht="36" customHeight="1">
      <c r="A27" s="2" t="inlineStr">
        <is>
          <t>SC-I06</t>
        </is>
      </c>
      <c r="B27" s="3" t="inlineStr">
        <is>
          <t>Thông Tin CN</t>
        </is>
      </c>
      <c r="C27" s="3" t="inlineStr">
        <is>
          <t>Kiểm tra xem thông tin công việc và Admin chỉnh sửa</t>
        </is>
      </c>
      <c r="D27" s="2" t="inlineStr">
        <is>
          <t>Medium</t>
        </is>
      </c>
    </row>
    <row r="28" ht="36" customHeight="1">
      <c r="A28" s="2" t="inlineStr">
        <is>
          <t>SC-I07</t>
        </is>
      </c>
      <c r="B28" s="3" t="inlineStr">
        <is>
          <t>Thông Tin CN</t>
        </is>
      </c>
      <c r="C28" s="3" t="inlineStr">
        <is>
          <t>Kiểm tra xem và thêm thành phần lương</t>
        </is>
      </c>
      <c r="D28" s="2" t="inlineStr">
        <is>
          <t>Medium</t>
        </is>
      </c>
    </row>
    <row r="29" ht="36" customHeight="1">
      <c r="A29" s="2" t="inlineStr">
        <is>
          <t>SC-I08</t>
        </is>
      </c>
      <c r="B29" s="3" t="inlineStr">
        <is>
          <t>Thông Tin CN</t>
        </is>
      </c>
      <c r="C29" s="3" t="inlineStr">
        <is>
          <t>Kiểm tra đổi mật khẩu: hợp lệ, sai mật khẩu cũ, không khớp</t>
        </is>
      </c>
      <c r="D29" s="2" t="inlineStr">
        <is>
          <t>High</t>
        </is>
      </c>
    </row>
    <row r="30" ht="36" customHeight="1">
      <c r="A30" s="2" t="inlineStr">
        <is>
          <t>SC-I09</t>
        </is>
      </c>
      <c r="B30" s="3" t="inlineStr">
        <is>
          <t>Thông Tin CN</t>
        </is>
      </c>
      <c r="C30" s="3" t="inlineStr">
        <is>
          <t>Kiểm tra upload ảnh đại diện: hợp lệ, quá size, sai định dạng</t>
        </is>
      </c>
      <c r="D30" s="2" t="inlineStr">
        <is>
          <t>Medium</t>
        </is>
      </c>
    </row>
    <row r="31" ht="36" customHeight="1">
      <c r="A31" s="2" t="inlineStr">
        <is>
          <t>SC-I10</t>
        </is>
      </c>
      <c r="B31" s="3" t="inlineStr">
        <is>
          <t>Thông Tin CN</t>
        </is>
      </c>
      <c r="C31" s="3" t="inlineStr">
        <is>
          <t>Kiểm tra thêm thông tin học vấn và kỹ năng chuyên môn</t>
        </is>
      </c>
      <c r="D31" s="2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showGridLines="0" workbookViewId="0">
      <pane ySplit="1" topLeftCell="A25" activePane="bottomLeft" state="frozen"/>
      <selection pane="bottomLeft" activeCell="I2" activeCellId="1" sqref="A1 I2:I1048576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30" customWidth="1" min="4" max="4"/>
    <col width="40" customWidth="1" min="5" max="5"/>
    <col width="30" customWidth="1" min="6" max="6"/>
    <col width="35" customWidth="1" min="7" max="8"/>
    <col width="35" customWidth="1" min="8" max="8"/>
    <col width="12" customWidth="1" style="7" min="9" max="9"/>
    <col width="12" customWidth="1" min="10" max="10"/>
    <col width="10" customWidth="1" min="11" max="11"/>
    <col width="12" customWidth="1" min="12" max="12"/>
    <col width="13" customWidth="1" min="13" max="13"/>
    <col width="16" customWidth="1" min="14" max="15"/>
  </cols>
  <sheetData>
    <row r="1" ht="39.95" customHeight="1">
      <c r="A1" s="8" t="inlineStr">
        <is>
          <t>Test Case ID</t>
        </is>
      </c>
      <c r="B1" s="1" t="inlineStr">
        <is>
          <t>Scenario ID</t>
        </is>
      </c>
      <c r="C1" s="1" t="inlineStr">
        <is>
          <t>Mô tả Test Case</t>
        </is>
      </c>
      <c r="D1" s="1" t="inlineStr">
        <is>
          <t>Điều kiện tiên quyết
(Pre-conditions)</t>
        </is>
      </c>
      <c r="E1" s="1" t="inlineStr">
        <is>
          <t>Các bước thực hiện
(Test Steps)</t>
        </is>
      </c>
      <c r="F1" s="1" t="inlineStr">
        <is>
          <t>Dữ liệu kiểm thử
(Test Data)</t>
        </is>
      </c>
      <c r="G1" s="1" t="inlineStr">
        <is>
          <t>Kết quả mong đợi
(Expected Result)</t>
        </is>
      </c>
      <c r="H1" s="1" t="inlineStr">
        <is>
          <t>Kết quả thực tế
(Actual Result)</t>
        </is>
      </c>
      <c r="I1" s="1" t="inlineStr">
        <is>
          <t>Trạng thái
(Status)</t>
        </is>
      </c>
      <c r="J1" s="1" t="inlineStr">
        <is>
          <t>Test Priority</t>
        </is>
      </c>
      <c r="K1" s="9" t="inlineStr">
        <is>
          <t>Auto Test</t>
        </is>
      </c>
      <c r="L1" s="4" t="inlineStr">
        <is>
          <t>Status name</t>
        </is>
      </c>
      <c r="M1" s="4" t="inlineStr">
        <is>
          <t>Status count</t>
        </is>
      </c>
      <c r="N1" s="4" t="inlineStr">
        <is>
          <t>Test Priority name</t>
        </is>
      </c>
      <c r="O1" s="4" t="inlineStr">
        <is>
          <t>Test Priority count</t>
        </is>
      </c>
    </row>
    <row r="2" ht="69.95" customHeight="1">
      <c r="A2" s="5" t="inlineStr">
        <is>
          <t>TC-L01</t>
        </is>
      </c>
      <c r="B2" s="2" t="inlineStr">
        <is>
          <t>SC-L01</t>
        </is>
      </c>
      <c r="C2" s="3" t="inlineStr">
        <is>
          <t>Nộp đơn nghỉ phép năm hợp lệ</t>
        </is>
      </c>
      <c r="D2" s="3" t="inlineStr">
        <is>
          <t>Nhân viên đã đăng nhập; còn số dư phép năm</t>
        </is>
      </c>
      <c r="E2" s="3" t="inlineStr">
        <is>
          <t>1. Vào Leave &gt; Apply
2. Chọn Leave Type = Annual Leave
3. Nhập From/To date (ngày tương lai)
4. Nhập comment
5. Nhấn Submit</t>
        </is>
      </c>
      <c r="F2" s="3" t="inlineStr">
        <is>
          <t>From: 15/07/2025
To: 17/07/2025</t>
        </is>
      </c>
      <c r="G2" s="3" t="inlineStr">
        <is>
          <t>Đơn nghỉ được tạo thành công; Status = Pending Approval; quản lý nhận thông báo</t>
        </is>
      </c>
      <c r="H2" s="3" t="inlineStr">
        <is>
          <t>Đơn nghỉ tạo thành công, trạng thái Pending Approval</t>
        </is>
      </c>
      <c r="I2" s="6" t="inlineStr">
        <is>
          <t>Pass</t>
        </is>
      </c>
      <c r="J2" s="2" t="inlineStr">
        <is>
          <t>High</t>
        </is>
      </c>
      <c r="K2" s="10" t="inlineStr">
        <is>
          <t>Yes</t>
        </is>
      </c>
      <c r="L2" s="2" t="inlineStr">
        <is>
          <t>Pass</t>
        </is>
      </c>
      <c r="M2" s="2">
        <f>COUNTIF($I$2:$I$25,"Pass")</f>
        <v/>
      </c>
      <c r="N2" s="2" t="inlineStr">
        <is>
          <t>High</t>
        </is>
      </c>
      <c r="O2" s="2">
        <f>COUNTIF($J$2:$J$25,"High")</f>
        <v/>
      </c>
    </row>
    <row r="3" ht="69.95" customHeight="1">
      <c r="A3" s="5" t="inlineStr">
        <is>
          <t>TC-L02</t>
        </is>
      </c>
      <c r="B3" s="2" t="inlineStr">
        <is>
          <t>SC-L01</t>
        </is>
      </c>
      <c r="C3" s="3" t="inlineStr">
        <is>
          <t>Nộp đơn nghỉ với ngày bắt đầu sau ngày kết thúc</t>
        </is>
      </c>
      <c r="D3" s="3" t="inlineStr">
        <is>
          <t>Nhân viên đã đăng nhập</t>
        </is>
      </c>
      <c r="E3" s="3" t="inlineStr">
        <is>
          <t>1. Vào Leave &gt; Apply
2. Chọn Annual Leave
3. Nhập From date lớn hơn To date
4. Nhấn Submit</t>
        </is>
      </c>
      <c r="F3" s="3" t="inlineStr">
        <is>
          <t>From: 20/07/2025
To: 15/07/2025</t>
        </is>
      </c>
      <c r="G3" s="3" t="inlineStr">
        <is>
          <t>Hiển thị lỗi: 'To date must be after From date'</t>
        </is>
      </c>
      <c r="H3" s="3" t="inlineStr">
        <is>
          <t>Hệ thống báo lỗi đúng như mong đợi</t>
        </is>
      </c>
      <c r="I3" s="6" t="inlineStr">
        <is>
          <t>Pass</t>
        </is>
      </c>
      <c r="J3" s="2" t="inlineStr">
        <is>
          <t>High</t>
        </is>
      </c>
      <c r="K3" s="10" t="inlineStr">
        <is>
          <t>Yes</t>
        </is>
      </c>
      <c r="L3" s="2" t="inlineStr">
        <is>
          <t>Fail</t>
        </is>
      </c>
      <c r="M3" s="2">
        <f>COUNTIF($I$2:$I$25,"Fail")</f>
        <v/>
      </c>
      <c r="N3" s="2" t="inlineStr">
        <is>
          <t>Medium</t>
        </is>
      </c>
      <c r="O3" s="2">
        <f>COUNTIF($J$2:$J$25,"Medium")</f>
        <v/>
      </c>
    </row>
    <row r="4" ht="69.95" customHeight="1">
      <c r="A4" s="5" t="inlineStr">
        <is>
          <t>TC-L03</t>
        </is>
      </c>
      <c r="B4" s="2" t="inlineStr">
        <is>
          <t>SC-L01</t>
        </is>
      </c>
      <c r="C4" s="3" t="inlineStr">
        <is>
          <t>Nộp đơn nghỉ vượt số dư phép</t>
        </is>
      </c>
      <c r="D4" s="3" t="inlineStr">
        <is>
          <t>Nhân viên đã đăng nhập; số dư phép = 2 ngày</t>
        </is>
      </c>
      <c r="E4" s="3" t="inlineStr">
        <is>
          <t>1. Vào Leave &gt; Apply
2. Nhập khoảng 5 ngày nghỉ
3. Nhấn Submit</t>
        </is>
      </c>
      <c r="F4" s="3" t="inlineStr">
        <is>
          <t>From: 01/07/2025
To: 05/07/2025 (5 ngày)</t>
        </is>
      </c>
      <c r="G4" s="3" t="inlineStr">
        <is>
          <t>Hiển thị lỗi: 'Insufficient leave balance'</t>
        </is>
      </c>
      <c r="H4" s="3" t="inlineStr">
        <is>
          <t>Hệ thống cảnh báo số dư không đủ</t>
        </is>
      </c>
      <c r="I4" s="6" t="inlineStr">
        <is>
          <t>Pass</t>
        </is>
      </c>
      <c r="J4" s="2" t="inlineStr">
        <is>
          <t>High</t>
        </is>
      </c>
      <c r="K4" s="10" t="inlineStr">
        <is>
          <t>Yes</t>
        </is>
      </c>
      <c r="L4" s="2" t="inlineStr">
        <is>
          <t>Total</t>
        </is>
      </c>
      <c r="M4" s="2">
        <f>SUM(M2:M3)</f>
        <v/>
      </c>
      <c r="N4" s="2" t="inlineStr">
        <is>
          <t>Low</t>
        </is>
      </c>
      <c r="O4" s="2">
        <f>COUNTIF($J$2:$J$25,"Low")</f>
        <v/>
      </c>
    </row>
    <row r="5" ht="69.95" customHeight="1">
      <c r="A5" s="5" t="inlineStr">
        <is>
          <t>TC-L04</t>
        </is>
      </c>
      <c r="B5" s="2" t="inlineStr">
        <is>
          <t>SC-L02</t>
        </is>
      </c>
      <c r="C5" s="3" t="inlineStr">
        <is>
          <t>Nộp đơn nghỉ bệnh có đính kèm giấy tờ</t>
        </is>
      </c>
      <c r="D5" s="3" t="inlineStr">
        <is>
          <t>Nhân viên đã đăng nhập; policy cho phép đính kèm file</t>
        </is>
      </c>
      <c r="E5" s="3" t="inlineStr">
        <is>
          <t>1. Vào Leave &gt; Apply
2. Chọn Sick Leave
3. Nhập ngày nghỉ
4. Upload file giấy khám bệnh (PDF)
5. Nhấn Submit</t>
        </is>
      </c>
      <c r="F5" s="3" t="inlineStr">
        <is>
          <t>Sick Leave: 10/07/2025
File: giay_kham.pdf</t>
        </is>
      </c>
      <c r="G5" s="3" t="inlineStr">
        <is>
          <t>Đơn nghỉ được lưu kèm file đính kèm; Status = Pending</t>
        </is>
      </c>
      <c r="H5" s="3" t="inlineStr">
        <is>
          <t>Đơn nghỉ lưu thành công cùng file đính kèm</t>
        </is>
      </c>
      <c r="I5" s="6" t="inlineStr">
        <is>
          <t>Pass</t>
        </is>
      </c>
      <c r="J5" s="2" t="inlineStr">
        <is>
          <t>Medium</t>
        </is>
      </c>
      <c r="K5" s="10" t="inlineStr">
        <is>
          <t>Yes</t>
        </is>
      </c>
      <c r="L5" t="inlineStr">
        <is>
          <t>Auto Test</t>
        </is>
      </c>
      <c r="M5">
        <f>COUNTIF($K$2:$K$25,"Yes")</f>
        <v/>
      </c>
    </row>
    <row r="6" ht="69.95" customHeight="1">
      <c r="A6" s="5" t="inlineStr">
        <is>
          <t>TC-L05</t>
        </is>
      </c>
      <c r="B6" s="2" t="inlineStr">
        <is>
          <t>SC-L02</t>
        </is>
      </c>
      <c r="C6" s="3" t="inlineStr">
        <is>
          <t>Nộp đơn nghỉ bệnh không đính kèm file</t>
        </is>
      </c>
      <c r="D6" s="3" t="inlineStr">
        <is>
          <t>Nhân viên đã đăng nhập</t>
        </is>
      </c>
      <c r="E6" s="3" t="inlineStr">
        <is>
          <t>1. Vào Leave &gt; Apply
2. Chọn Sick Leave
3. Nhập ngày nghỉ
4. Bỏ qua bước upload file
5. Nhấn Submit</t>
        </is>
      </c>
      <c r="F6" s="3" t="inlineStr">
        <is>
          <t>Sick Leave: 11/07/2025
(không đính kèm file)</t>
        </is>
      </c>
      <c r="G6" s="3" t="inlineStr">
        <is>
          <t>Đơn vẫn được tạo nếu file không bắt buộc, hoặc báo lỗi yêu cầu đính kèm</t>
        </is>
      </c>
      <c r="H6" s="3" t="inlineStr">
        <is>
          <t>Đơn được tạo không cần đính kèm</t>
        </is>
      </c>
      <c r="I6" s="6" t="inlineStr">
        <is>
          <t>Pass</t>
        </is>
      </c>
      <c r="J6" s="2" t="inlineStr">
        <is>
          <t>Low</t>
        </is>
      </c>
      <c r="K6" s="10" t="inlineStr">
        <is>
          <t>Yes</t>
        </is>
      </c>
    </row>
    <row r="7" ht="69.95" customHeight="1">
      <c r="A7" s="5" t="inlineStr">
        <is>
          <t>TC-L06</t>
        </is>
      </c>
      <c r="B7" s="2" t="inlineStr">
        <is>
          <t>SC-L03</t>
        </is>
      </c>
      <c r="C7" s="3" t="inlineStr">
        <is>
          <t>Quản lý phê duyệt đơn nghỉ đang chờ</t>
        </is>
      </c>
      <c r="D7" s="3" t="inlineStr">
        <is>
          <t>Quản lý đã đăng nhập; nhân viên cấp dưới có đơn Pending</t>
        </is>
      </c>
      <c r="E7" s="3" t="inlineStr">
        <is>
          <t>1. Vào Leave &gt; Leave List
2. Lọc Status = Pending Approval
3. Nhấn Approve trên đơn nghỉ</t>
        </is>
      </c>
      <c r="F7" s="3" t="inlineStr">
        <is>
          <t>Đơn nghỉ TC-L01 đang Pending</t>
        </is>
      </c>
      <c r="G7" s="3" t="inlineStr">
        <is>
          <t>Status chuyển thành Approved; nhân viên nhận thông báo; số dư phép bị trừ</t>
        </is>
      </c>
      <c r="H7" s="3" t="inlineStr">
        <is>
          <t>Đơn được duyệt, số dư phép trừ đúng</t>
        </is>
      </c>
      <c r="I7" s="6" t="inlineStr">
        <is>
          <t>Pass</t>
        </is>
      </c>
      <c r="J7" s="2" t="inlineStr">
        <is>
          <t>High</t>
        </is>
      </c>
      <c r="K7" s="10" t="inlineStr">
        <is>
          <t>Yes</t>
        </is>
      </c>
    </row>
    <row r="8" ht="69.95" customHeight="1">
      <c r="A8" s="5" t="inlineStr">
        <is>
          <t>TC-L07</t>
        </is>
      </c>
      <c r="B8" s="2" t="inlineStr">
        <is>
          <t>SC-L03</t>
        </is>
      </c>
      <c r="C8" s="3" t="inlineStr">
        <is>
          <t>Quản lý từ chối đơn nghỉ kèm lý do</t>
        </is>
      </c>
      <c r="D8" s="3" t="inlineStr">
        <is>
          <t>Quản lý đã đăng nhập; đơn nghỉ đang Pending</t>
        </is>
      </c>
      <c r="E8" s="3" t="inlineStr">
        <is>
          <t>1. Mở đơn nghỉ Pending
2. Nhấn Reject
3. Nhập lý do từ chối
4. Xác nhận</t>
        </is>
      </c>
      <c r="F8" s="3" t="inlineStr">
        <is>
          <t>Lý do: 'Thiếu nhân sự trong kỳ này'</t>
        </is>
      </c>
      <c r="G8" s="3" t="inlineStr">
        <is>
          <t>Status = Rejected; lý do được lưu; nhân viên nhận thông báo</t>
        </is>
      </c>
      <c r="H8" s="3" t="inlineStr">
        <is>
          <t>Đơn bị từ chối, lý do lưu đúng</t>
        </is>
      </c>
      <c r="I8" s="6" t="inlineStr">
        <is>
          <t>Pass</t>
        </is>
      </c>
      <c r="J8" s="2" t="inlineStr">
        <is>
          <t>High</t>
        </is>
      </c>
      <c r="K8" s="10" t="inlineStr">
        <is>
          <t>Yes</t>
        </is>
      </c>
    </row>
    <row r="9" ht="69.95" customHeight="1">
      <c r="A9" s="5" t="inlineStr">
        <is>
          <t>TC-L08</t>
        </is>
      </c>
      <c r="B9" s="2" t="inlineStr">
        <is>
          <t>SC-L04</t>
        </is>
      </c>
      <c r="C9" s="3" t="inlineStr">
        <is>
          <t>Nhân viên huỷ đơn nghỉ đã được duyệt</t>
        </is>
      </c>
      <c r="D9" s="3" t="inlineStr">
        <is>
          <t>Nhân viên đã đăng nhập; đơn nghỉ Status = Approved</t>
        </is>
      </c>
      <c r="E9" s="3" t="inlineStr">
        <is>
          <t>1. Vào My Leave List
2. Tìm đơn nghỉ đã Approved
3. Nhấn Cancel</t>
        </is>
      </c>
      <c r="F9" s="3" t="inlineStr">
        <is>
          <t>Đơn nghỉ TC-L01 (đã Approved)</t>
        </is>
      </c>
      <c r="G9" s="3" t="inlineStr">
        <is>
          <t>Status = Cancelled; số ngày phép được hoàn trả về số dư</t>
        </is>
      </c>
      <c r="H9" s="3" t="inlineStr">
        <is>
          <t>Đơn bị huỷ, số dư phép hoàn lại đúng</t>
        </is>
      </c>
      <c r="I9" s="6" t="inlineStr">
        <is>
          <t>Pass</t>
        </is>
      </c>
      <c r="J9" s="2" t="inlineStr">
        <is>
          <t>High</t>
        </is>
      </c>
      <c r="K9" s="10" t="inlineStr">
        <is>
          <t>Yes</t>
        </is>
      </c>
    </row>
    <row r="10" ht="69.95" customHeight="1">
      <c r="A10" s="5" t="inlineStr">
        <is>
          <t>TC-L09</t>
        </is>
      </c>
      <c r="B10" s="2" t="inlineStr">
        <is>
          <t>SC-L04</t>
        </is>
      </c>
      <c r="C10" s="3" t="inlineStr">
        <is>
          <t>Huỷ đơn nghỉ bị từ chối (không cho phép)</t>
        </is>
      </c>
      <c r="D10" s="3" t="inlineStr">
        <is>
          <t>Nhân viên đã đăng nhập; đơn nghỉ Status = Rejected</t>
        </is>
      </c>
      <c r="E10" s="3" t="inlineStr">
        <is>
          <t>1. Vào My Leave List
2. Tìm đơn nghỉ đã Rejected
3. Thử nhấn Cancel</t>
        </is>
      </c>
      <c r="F10" s="3" t="inlineStr">
        <is>
          <t>Đơn nghỉ TC-L07 (đã Rejected)</t>
        </is>
      </c>
      <c r="G10" s="3" t="inlineStr">
        <is>
          <t>Nút Cancel bị vô hiệu hoặc báo lỗi không thể huỷ</t>
        </is>
      </c>
      <c r="H10" s="3" t="inlineStr">
        <is>
          <t>Hệ thống vẫn hiện nút Cancel cho đơn Rejected</t>
        </is>
      </c>
      <c r="I10" s="6" t="inlineStr">
        <is>
          <t>Fail</t>
        </is>
      </c>
      <c r="J10" s="2" t="inlineStr">
        <is>
          <t>Medium</t>
        </is>
      </c>
      <c r="K10" s="10" t="inlineStr">
        <is>
          <t>Yes</t>
        </is>
      </c>
    </row>
    <row r="11" ht="69.95" customHeight="1">
      <c r="A11" s="5" t="inlineStr">
        <is>
          <t>TC-L10</t>
        </is>
      </c>
      <c r="B11" s="2" t="inlineStr">
        <is>
          <t>SC-L05</t>
        </is>
      </c>
      <c r="C11" s="3" t="inlineStr">
        <is>
          <t>Thêm số ngày phép cho nhân viên</t>
        </is>
      </c>
      <c r="D11" s="3" t="inlineStr">
        <is>
          <t>Admin đã đăng nhập</t>
        </is>
      </c>
      <c r="E11" s="3" t="inlineStr">
        <is>
          <t>1. Vào Leave &gt; Entitlements &gt; Add Entitlement
2. Chọn Employee, Leave Type, Period
3. Nhập số ngày
4. Nhấn Save</t>
        </is>
      </c>
      <c r="F11" s="3" t="inlineStr">
        <is>
          <t>Employee: Nguyễn Văn A
Leave Type: Annual
Days: 12</t>
        </is>
      </c>
      <c r="G11" s="3" t="inlineStr">
        <is>
          <t>Số ngày phép được lưu; số dư phép nhân viên cập nhật</t>
        </is>
      </c>
      <c r="H11" s="3" t="inlineStr">
        <is>
          <t>Entitlement lưu thành công, số dư cập nhật đúng</t>
        </is>
      </c>
      <c r="I11" s="6" t="inlineStr">
        <is>
          <t>Pass</t>
        </is>
      </c>
      <c r="J11" s="2" t="inlineStr">
        <is>
          <t>High</t>
        </is>
      </c>
      <c r="K11" s="10" t="inlineStr">
        <is>
          <t>Yes</t>
        </is>
      </c>
    </row>
    <row r="12" ht="69.95" customHeight="1">
      <c r="A12" s="5" t="inlineStr">
        <is>
          <t>TC-L11</t>
        </is>
      </c>
      <c r="B12" s="2" t="inlineStr">
        <is>
          <t>SC-L05</t>
        </is>
      </c>
      <c r="C12" s="3" t="inlineStr">
        <is>
          <t>Thêm entitlement với số ngày = 0</t>
        </is>
      </c>
      <c r="D12" s="3" t="inlineStr">
        <is>
          <t>Admin đã đăng nhập</t>
        </is>
      </c>
      <c r="E12" s="3" t="inlineStr">
        <is>
          <t>1. Vào Add Entitlement
2. Nhập số ngày = 0
3. Nhấn Save</t>
        </is>
      </c>
      <c r="F12" s="3" t="inlineStr">
        <is>
          <t>Days: 0</t>
        </is>
      </c>
      <c r="G12" s="3" t="inlineStr">
        <is>
          <t>Báo lỗi validation: 'Days must be greater than 0'</t>
        </is>
      </c>
      <c r="H12" s="3" t="inlineStr">
        <is>
          <t>Hệ thống cho lưu 0 ngày, không báo lỗi</t>
        </is>
      </c>
      <c r="I12" s="6" t="inlineStr">
        <is>
          <t>Fail</t>
        </is>
      </c>
      <c r="J12" s="2" t="inlineStr">
        <is>
          <t>Medium</t>
        </is>
      </c>
      <c r="K12" s="10" t="inlineStr">
        <is>
          <t>Yes</t>
        </is>
      </c>
    </row>
    <row r="13" ht="69.95" customHeight="1">
      <c r="A13" s="5" t="inlineStr">
        <is>
          <t>TC-L12</t>
        </is>
      </c>
      <c r="B13" s="2" t="inlineStr">
        <is>
          <t>SC-L06</t>
        </is>
      </c>
      <c r="C13" s="3" t="inlineStr">
        <is>
          <t>Tạo báo cáo sử dụng phép</t>
        </is>
      </c>
      <c r="D13" s="3" t="inlineStr">
        <is>
          <t>Admin/Manager đã đăng nhập</t>
        </is>
      </c>
      <c r="E13" s="3" t="inlineStr">
        <is>
          <t>1. Vào Leave &gt; Reports
2. Chọn Leave Type và Date Range
3. Nhấn Search</t>
        </is>
      </c>
      <c r="F13" s="3" t="inlineStr">
        <is>
          <t>Leave Type: Annual
Period: 01/2025 - 06/2025</t>
        </is>
      </c>
      <c r="G13" s="3" t="inlineStr">
        <is>
          <t>Báo cáo hiển thị đúng danh sách nhân viên và số ngày nghỉ trong kỳ</t>
        </is>
      </c>
      <c r="H13" s="3" t="inlineStr">
        <is>
          <t>Báo cáo sinh ra đúng dữ liệu</t>
        </is>
      </c>
      <c r="I13" s="6" t="inlineStr">
        <is>
          <t>Pass</t>
        </is>
      </c>
      <c r="J13" s="2" t="inlineStr">
        <is>
          <t>Medium</t>
        </is>
      </c>
      <c r="K13" s="11" t="inlineStr">
        <is>
          <t>No</t>
        </is>
      </c>
    </row>
    <row r="14" ht="69.95" customHeight="1">
      <c r="A14" s="5" t="inlineStr">
        <is>
          <t>TC-L13</t>
        </is>
      </c>
      <c r="B14" s="2" t="inlineStr">
        <is>
          <t>SC-L06</t>
        </is>
      </c>
      <c r="C14" s="3" t="inlineStr">
        <is>
          <t>Xuất báo cáo ra file CSV</t>
        </is>
      </c>
      <c r="D14" s="3" t="inlineStr">
        <is>
          <t>Kết quả báo cáo đã hiển thị</t>
        </is>
      </c>
      <c r="E14" s="3" t="inlineStr">
        <is>
          <t>1. Tạo báo cáo (TC-L12)
2. Nhấn Export / Download CSV</t>
        </is>
      </c>
      <c r="F14" s="3" t="inlineStr">
        <is>
          <t>(Kết quả TC-L12)</t>
        </is>
      </c>
      <c r="G14" s="3" t="inlineStr">
        <is>
          <t>File CSV được tải về với dữ liệu chính xác</t>
        </is>
      </c>
      <c r="H14" s="3" t="inlineStr">
        <is>
          <t>File CSV tải về đúng nội dung</t>
        </is>
      </c>
      <c r="I14" s="6" t="inlineStr">
        <is>
          <t>Pass</t>
        </is>
      </c>
      <c r="J14" s="2" t="inlineStr">
        <is>
          <t>Low</t>
        </is>
      </c>
      <c r="K14" s="11" t="inlineStr">
        <is>
          <t>No</t>
        </is>
      </c>
    </row>
    <row r="15" ht="69.95" customHeight="1">
      <c r="A15" s="5" t="inlineStr">
        <is>
          <t>TC-L14</t>
        </is>
      </c>
      <c r="B15" s="2" t="inlineStr">
        <is>
          <t>SC-L07</t>
        </is>
      </c>
      <c r="C15" s="3" t="inlineStr">
        <is>
          <t>Xem lịch nghỉ phép nhóm</t>
        </is>
      </c>
      <c r="D15" s="3" t="inlineStr">
        <is>
          <t>Nhân viên đã đăng nhập</t>
        </is>
      </c>
      <c r="E15" s="3" t="inlineStr">
        <is>
          <t>1. Vào Leave &gt; Leave Calendar
2. Chọn tháng/năm cần xem</t>
        </is>
      </c>
      <c r="F15" s="3" t="inlineStr">
        <is>
          <t>Tháng: 07/2025</t>
        </is>
      </c>
      <c r="G15" s="3" t="inlineStr">
        <is>
          <t>Lịch hiển thị các ngày nghỉ đã Approved của nhóm</t>
        </is>
      </c>
      <c r="H15" s="3" t="inlineStr">
        <is>
          <t>Lịch hiển thị đúng ngày nghỉ của nhóm</t>
        </is>
      </c>
      <c r="I15" s="6" t="inlineStr">
        <is>
          <t>Pass</t>
        </is>
      </c>
      <c r="J15" s="2" t="inlineStr">
        <is>
          <t>Medium</t>
        </is>
      </c>
      <c r="K15" s="11" t="inlineStr">
        <is>
          <t>No</t>
        </is>
      </c>
    </row>
    <row r="16" ht="69.95" customHeight="1">
      <c r="A16" s="5" t="inlineStr">
        <is>
          <t>TC-L15</t>
        </is>
      </c>
      <c r="B16" s="2" t="inlineStr">
        <is>
          <t>SC-L07</t>
        </is>
      </c>
      <c r="C16" s="3" t="inlineStr">
        <is>
          <t>Lọc lịch theo nhân viên cụ thể</t>
        </is>
      </c>
      <c r="D16" s="3" t="inlineStr">
        <is>
          <t>Manager đã đăng nhập</t>
        </is>
      </c>
      <c r="E16" s="3" t="inlineStr">
        <is>
          <t>1. Mở Leave Calendar
2. Filter theo tên nhân viên cụ thể</t>
        </is>
      </c>
      <c r="F16" s="3" t="inlineStr">
        <is>
          <t>Employee: Nguyễn Văn A</t>
        </is>
      </c>
      <c r="G16" s="3" t="inlineStr">
        <is>
          <t>Lịch chỉ hiển thị ngày nghỉ của nhân viên được chọn</t>
        </is>
      </c>
      <c r="H16" s="3" t="inlineStr">
        <is>
          <t>Lịch lọc đúng theo nhân viên</t>
        </is>
      </c>
      <c r="I16" s="6" t="inlineStr">
        <is>
          <t>Pass</t>
        </is>
      </c>
      <c r="J16" s="2" t="inlineStr">
        <is>
          <t>Low</t>
        </is>
      </c>
      <c r="K16" s="11" t="inlineStr">
        <is>
          <t>No</t>
        </is>
      </c>
    </row>
    <row r="17" ht="69.95" customHeight="1">
      <c r="A17" s="5" t="inlineStr">
        <is>
          <t>TC-L16</t>
        </is>
      </c>
      <c r="B17" s="2" t="inlineStr">
        <is>
          <t>SC-L08</t>
        </is>
      </c>
      <c r="C17" s="3" t="inlineStr">
        <is>
          <t>Tạo mới loại phép</t>
        </is>
      </c>
      <c r="D17" s="3" t="inlineStr">
        <is>
          <t>Admin đã đăng nhập</t>
        </is>
      </c>
      <c r="E17" s="3" t="inlineStr">
        <is>
          <t>1. Vào Leave &gt; Configure &gt; Leave Types
2. Nhấn Add
3. Nhập tên, số ngày mặc định
4. Save</t>
        </is>
      </c>
      <c r="F17" s="3" t="inlineStr">
        <is>
          <t>Name: Nghỉ đám cưới
Entitlement: 3 ngày</t>
        </is>
      </c>
      <c r="G17" s="3" t="inlineStr">
        <is>
          <t>Loại phép mới tạo thành công; hiện trong dropdown khi nộp đơn</t>
        </is>
      </c>
      <c r="H17" s="3" t="inlineStr">
        <is>
          <t>Loại phép mới hiển thị đúng</t>
        </is>
      </c>
      <c r="I17" s="6" t="inlineStr">
        <is>
          <t>Pass</t>
        </is>
      </c>
      <c r="J17" s="2" t="inlineStr">
        <is>
          <t>High</t>
        </is>
      </c>
      <c r="K17" s="10" t="inlineStr">
        <is>
          <t>Yes</t>
        </is>
      </c>
    </row>
    <row r="18" ht="69.95" customHeight="1">
      <c r="A18" s="5" t="inlineStr">
        <is>
          <t>TC-L17</t>
        </is>
      </c>
      <c r="B18" s="2" t="inlineStr">
        <is>
          <t>SC-L08</t>
        </is>
      </c>
      <c r="C18" s="3" t="inlineStr">
        <is>
          <t>Tạo loại phép trùng tên đã có</t>
        </is>
      </c>
      <c r="D18" s="3" t="inlineStr">
        <is>
          <t>Admin đã đăng nhập; 'Annual Leave' đã tồn tại</t>
        </is>
      </c>
      <c r="E18" s="3" t="inlineStr">
        <is>
          <t>1. Vào Add Leave Type
2. Nhập Name = Annual Leave
3. Save</t>
        </is>
      </c>
      <c r="F18" s="3" t="inlineStr">
        <is>
          <t>Name: Annual Leave (đã tồn tại)</t>
        </is>
      </c>
      <c r="G18" s="3" t="inlineStr">
        <is>
          <t>Báo lỗi: 'Leave type name already exists'</t>
        </is>
      </c>
      <c r="H18" s="3" t="inlineStr">
        <is>
          <t>Hệ thống cho lưu trùng tên loại phép</t>
        </is>
      </c>
      <c r="I18" s="6" t="inlineStr">
        <is>
          <t>Fail</t>
        </is>
      </c>
      <c r="J18" s="2" t="inlineStr">
        <is>
          <t>Medium</t>
        </is>
      </c>
      <c r="K18" s="10" t="inlineStr">
        <is>
          <t>Yes</t>
        </is>
      </c>
    </row>
    <row r="19" ht="69.95" customHeight="1">
      <c r="A19" s="5" t="inlineStr">
        <is>
          <t>TC-L18</t>
        </is>
      </c>
      <c r="B19" s="2" t="inlineStr">
        <is>
          <t>SC-L09</t>
        </is>
      </c>
      <c r="C19" s="3" t="inlineStr">
        <is>
          <t>Cấu hình tuần làm việc</t>
        </is>
      </c>
      <c r="D19" s="3" t="inlineStr">
        <is>
          <t>Admin đã đăng nhập</t>
        </is>
      </c>
      <c r="E19" s="3" t="inlineStr">
        <is>
          <t>1. Vào Leave &gt; Configure &gt; Work Week
2. Thiết lập Mon-Fri = Full Day, Sat-Sun = Non-working
3. Save</t>
        </is>
      </c>
      <c r="F19" s="3" t="inlineStr">
        <is>
          <t>Mon-Fri: Full Day
Sat, Sun: Non-working</t>
        </is>
      </c>
      <c r="G19" s="3" t="inlineStr">
        <is>
          <t>Cấu hình lưu thành công; phép tính loại trừ cuối tuần</t>
        </is>
      </c>
      <c r="H19" s="3" t="inlineStr">
        <is>
          <t>Work week lưu và tính phép đúng</t>
        </is>
      </c>
      <c r="I19" s="6" t="inlineStr">
        <is>
          <t>Pass</t>
        </is>
      </c>
      <c r="J19" s="2" t="inlineStr">
        <is>
          <t>High</t>
        </is>
      </c>
      <c r="K19" s="10" t="inlineStr">
        <is>
          <t>Yes</t>
        </is>
      </c>
    </row>
    <row r="20" ht="69.95" customHeight="1">
      <c r="A20" s="5" t="inlineStr">
        <is>
          <t>TC-L19</t>
        </is>
      </c>
      <c r="B20" s="2" t="inlineStr">
        <is>
          <t>SC-L09</t>
        </is>
      </c>
      <c r="C20" s="3" t="inlineStr">
        <is>
          <t>Cấu hình tất cả ngày là Non-working</t>
        </is>
      </c>
      <c r="D20" s="3" t="inlineStr">
        <is>
          <t>Admin đã đăng nhập</t>
        </is>
      </c>
      <c r="E20" s="3" t="inlineStr">
        <is>
          <t>1. Vào Work Week
2. Đặt tất cả ngày = Non-working
3. Save</t>
        </is>
      </c>
      <c r="F20" s="3" t="inlineStr">
        <is>
          <t>Tất cả ngày: Non-working</t>
        </is>
      </c>
      <c r="G20" s="3" t="inlineStr">
        <is>
          <t>Báo cảnh báo hoặc lỗi yêu cầu ít nhất 1 ngày làm việc</t>
        </is>
      </c>
      <c r="H20" s="3" t="inlineStr">
        <is>
          <t>Hệ thống không cảnh báo, lưu được → Fail</t>
        </is>
      </c>
      <c r="I20" s="6" t="inlineStr">
        <is>
          <t>Fail</t>
        </is>
      </c>
      <c r="J20" s="2" t="inlineStr">
        <is>
          <t>Medium</t>
        </is>
      </c>
      <c r="K20" s="11" t="inlineStr">
        <is>
          <t>No</t>
        </is>
      </c>
    </row>
    <row r="21" ht="69.95" customHeight="1">
      <c r="A21" s="5" t="inlineStr">
        <is>
          <t>TC-L20</t>
        </is>
      </c>
      <c r="B21" s="2" t="inlineStr">
        <is>
          <t>SC-L10</t>
        </is>
      </c>
      <c r="C21" s="3" t="inlineStr">
        <is>
          <t>Thêm ngày lễ mới</t>
        </is>
      </c>
      <c r="D21" s="3" t="inlineStr">
        <is>
          <t>Admin đã đăng nhập</t>
        </is>
      </c>
      <c r="E21" s="3" t="inlineStr">
        <is>
          <t>1. Vào Leave &gt; Configure &gt; Holidays
2. Nhấn Add
3. Nhập tên và ngày
4. Save</t>
        </is>
      </c>
      <c r="F21" s="3" t="inlineStr">
        <is>
          <t>Name: Tết Nguyên Đán
Date: 29/01/2025</t>
        </is>
      </c>
      <c r="G21" s="3" t="inlineStr">
        <is>
          <t>Ngày lễ lưu thành công; không tính vào số ngày phép khi nộp đơn</t>
        </is>
      </c>
      <c r="H21" s="3" t="inlineStr">
        <is>
          <t>Ngày lễ thêm thành công</t>
        </is>
      </c>
      <c r="I21" s="6" t="inlineStr">
        <is>
          <t>Pass</t>
        </is>
      </c>
      <c r="J21" s="2" t="inlineStr">
        <is>
          <t>High</t>
        </is>
      </c>
      <c r="K21" s="11" t="inlineStr">
        <is>
          <t>No</t>
        </is>
      </c>
    </row>
    <row r="22" ht="69.95" customHeight="1">
      <c r="A22" s="5" t="inlineStr">
        <is>
          <t>TC-L21</t>
        </is>
      </c>
      <c r="B22" s="2" t="inlineStr">
        <is>
          <t>SC-L10</t>
        </is>
      </c>
      <c r="C22" s="3" t="inlineStr">
        <is>
          <t>Thêm ngày lễ trùng ngày đã có</t>
        </is>
      </c>
      <c r="D22" s="3" t="inlineStr">
        <is>
          <t>Admin đã đăng nhập; 29/01/2025 đã là ngày lễ</t>
        </is>
      </c>
      <c r="E22" s="3" t="inlineStr">
        <is>
          <t>1. Vào Add Holiday
2. Nhập ngày 29/01/2025
3. Save</t>
        </is>
      </c>
      <c r="F22" s="3" t="inlineStr">
        <is>
          <t>Date: 29/01/2025 (đã tồn tại)</t>
        </is>
      </c>
      <c r="G22" s="3" t="inlineStr">
        <is>
          <t>Báo lỗi: 'Holiday already exists for this date'</t>
        </is>
      </c>
      <c r="H22" s="3" t="inlineStr">
        <is>
          <t>Hệ thống cho lưu ngày trùng → Fail</t>
        </is>
      </c>
      <c r="I22" s="6" t="inlineStr">
        <is>
          <t>Fail</t>
        </is>
      </c>
      <c r="J22" s="2" t="inlineStr">
        <is>
          <t>Medium</t>
        </is>
      </c>
      <c r="K22" s="11" t="inlineStr">
        <is>
          <t>No</t>
        </is>
      </c>
    </row>
    <row r="23" ht="69.95" customHeight="1">
      <c r="A23" s="5" t="inlineStr">
        <is>
          <t>TC-L22</t>
        </is>
      </c>
      <c r="B23" s="2" t="inlineStr">
        <is>
          <t>SC-L03</t>
        </is>
      </c>
      <c r="C23" s="3" t="inlineStr">
        <is>
          <t>Quản lý tìm kiếm đơn theo nhân viên</t>
        </is>
      </c>
      <c r="D23" s="3" t="inlineStr">
        <is>
          <t>Manager đã đăng nhập; nhiều đơn nghỉ tồn tại</t>
        </is>
      </c>
      <c r="E23" s="3" t="inlineStr">
        <is>
          <t>1. Vào Leave &gt; Leave List
2. Filter Employee = Nguyễn Văn A
3. Nhấn Search</t>
        </is>
      </c>
      <c r="F23" s="3" t="inlineStr">
        <is>
          <t>Employee: Nguyễn Văn A</t>
        </is>
      </c>
      <c r="G23" s="3" t="inlineStr">
        <is>
          <t>Chỉ hiển thị các đơn nghỉ của nhân viên được chọn</t>
        </is>
      </c>
      <c r="H23" s="3" t="inlineStr">
        <is>
          <t>Danh sách lọc đúng theo nhân viên</t>
        </is>
      </c>
      <c r="I23" s="6" t="inlineStr">
        <is>
          <t>Pass</t>
        </is>
      </c>
      <c r="J23" s="2" t="inlineStr">
        <is>
          <t>Medium</t>
        </is>
      </c>
      <c r="K23" s="11" t="inlineStr">
        <is>
          <t>No</t>
        </is>
      </c>
    </row>
    <row r="24" ht="69.95" customHeight="1">
      <c r="A24" s="5" t="inlineStr">
        <is>
          <t>TC-L23</t>
        </is>
      </c>
      <c r="B24" s="2" t="inlineStr">
        <is>
          <t>SC-L06</t>
        </is>
      </c>
      <c r="C24" s="3" t="inlineStr">
        <is>
          <t>Báo cáo với khoảng thời gian không có dữ liệu</t>
        </is>
      </c>
      <c r="D24" s="3" t="inlineStr">
        <is>
          <t>Admin đã đăng nhập; không có đơn nghỉ trong kỳ</t>
        </is>
      </c>
      <c r="E24" s="3" t="inlineStr">
        <is>
          <t>1. Vào Leave &gt; Reports
2. Chọn kỳ không có dữ liệu
3. Search</t>
        </is>
      </c>
      <c r="F24" s="3" t="inlineStr">
        <is>
          <t>Period: 01/2020 - 06/2020</t>
        </is>
      </c>
      <c r="G24" s="3" t="inlineStr">
        <is>
          <t>Hiển thị thông báo 'No Records Found'</t>
        </is>
      </c>
      <c r="H24" s="3" t="inlineStr">
        <is>
          <t>Báo cáo trả về rỗng đúng như mong đợi</t>
        </is>
      </c>
      <c r="I24" s="6" t="inlineStr">
        <is>
          <t>Pass</t>
        </is>
      </c>
      <c r="J24" s="2" t="inlineStr">
        <is>
          <t>Low</t>
        </is>
      </c>
      <c r="K24" s="11" t="inlineStr">
        <is>
          <t>No</t>
        </is>
      </c>
    </row>
    <row r="25" ht="69.95" customHeight="1">
      <c r="A25" s="5" t="inlineStr">
        <is>
          <t>TC-L25</t>
        </is>
      </c>
      <c r="B25" s="2" t="inlineStr">
        <is>
          <t>SC-L01</t>
        </is>
      </c>
      <c r="C25" s="3" t="inlineStr">
        <is>
          <t>Nộp đơn nghỉ vào ngày lễ</t>
        </is>
      </c>
      <c r="D25" s="3" t="inlineStr">
        <is>
          <t>Ngày lễ đã cấu hình; nhân viên đã đăng nhập</t>
        </is>
      </c>
      <c r="E25" s="3" t="inlineStr">
        <is>
          <t>1. Nộp đơn nghỉ bao gồm ngày lễ 29/01/2025
2. Nhấn Submit</t>
        </is>
      </c>
      <c r="F25" s="3" t="inlineStr">
        <is>
          <t>From: 29/01/2025
To: 31/01/2025</t>
        </is>
      </c>
      <c r="G25" s="3" t="inlineStr">
        <is>
          <t>Hệ thống loại trừ ngày lễ khỏi số ngày tính hoặc cảnh báo người dùng</t>
        </is>
      </c>
      <c r="H25" s="3" t="inlineStr">
        <is>
          <t>Ngày lễ không được loại trừ tự động → Fail</t>
        </is>
      </c>
      <c r="I25" s="6" t="inlineStr">
        <is>
          <t>Fail</t>
        </is>
      </c>
      <c r="J25" s="2" t="inlineStr">
        <is>
          <t>High</t>
        </is>
      </c>
      <c r="K25" s="11" t="inlineStr">
        <is>
          <t>No</t>
        </is>
      </c>
    </row>
    <row r="26" ht="69.95" customHeight="1"/>
  </sheetData>
  <dataValidations count="1">
    <dataValidation sqref="I2 I3 I4 I5 I6 I7 I8 I9 I10 I11 I12 I13 I14 I15 I16 I17 I18 I19 I20 I21 I22 I23 I24 I25 I26" showDropDown="0" showInputMessage="0" showErrorMessage="0" allowBlank="0" type="list">
      <formula1>"Pass,Fail"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showGridLines="0" workbookViewId="0">
      <pane ySplit="1" topLeftCell="A2" activePane="bottomLeft" state="frozen"/>
      <selection pane="bottomLeft" activeCell="I2" sqref="I2:I1048576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30" customWidth="1" min="4" max="4"/>
    <col width="40" customWidth="1" min="5" max="5"/>
    <col width="30" customWidth="1" min="6" max="6"/>
    <col width="35" customWidth="1" min="7" max="8"/>
    <col width="35" customWidth="1" min="8" max="8"/>
    <col width="12" customWidth="1" style="7" min="9" max="9"/>
    <col width="12" customWidth="1" min="10" max="10"/>
    <col width="10" customWidth="1" min="11" max="11"/>
    <col width="12" customWidth="1" min="12" max="12"/>
    <col width="13" customWidth="1" min="13" max="13"/>
    <col width="16" customWidth="1" min="14" max="15"/>
  </cols>
  <sheetData>
    <row r="1" ht="39.95" customHeight="1">
      <c r="A1" s="1" t="inlineStr">
        <is>
          <t>Test Case ID</t>
        </is>
      </c>
      <c r="B1" s="1" t="inlineStr">
        <is>
          <t>Scenario ID</t>
        </is>
      </c>
      <c r="C1" s="1" t="inlineStr">
        <is>
          <t>Mô tả Test Case</t>
        </is>
      </c>
      <c r="D1" s="1" t="inlineStr">
        <is>
          <t>Điều kiện tiên quyết
(Pre-conditions)</t>
        </is>
      </c>
      <c r="E1" s="1" t="inlineStr">
        <is>
          <t>Các bước thực hiện
(Test Steps)</t>
        </is>
      </c>
      <c r="F1" s="1" t="inlineStr">
        <is>
          <t>Dữ liệu kiểm thử
(Test Data)</t>
        </is>
      </c>
      <c r="G1" s="1" t="inlineStr">
        <is>
          <t>Kết quả mong đợi
(Expected Result)</t>
        </is>
      </c>
      <c r="H1" s="1" t="inlineStr">
        <is>
          <t>Kết quả thực tế
(Actual Result)</t>
        </is>
      </c>
      <c r="I1" s="1" t="inlineStr">
        <is>
          <t>Trạng thái
(Status)</t>
        </is>
      </c>
      <c r="J1" s="1" t="inlineStr">
        <is>
          <t>Test Priority</t>
        </is>
      </c>
      <c r="K1" s="9" t="inlineStr">
        <is>
          <t>Auto Test</t>
        </is>
      </c>
      <c r="L1" s="4" t="inlineStr">
        <is>
          <t>Status name</t>
        </is>
      </c>
      <c r="M1" s="4" t="inlineStr">
        <is>
          <t>Status count</t>
        </is>
      </c>
      <c r="N1" s="4" t="inlineStr">
        <is>
          <t>Test Priority name</t>
        </is>
      </c>
      <c r="O1" s="4" t="inlineStr">
        <is>
          <t>Test Priority count</t>
        </is>
      </c>
    </row>
    <row r="2" ht="69.95" customHeight="1">
      <c r="A2" s="5" t="inlineStr">
        <is>
          <t>TC-R01</t>
        </is>
      </c>
      <c r="B2" s="2" t="inlineStr">
        <is>
          <t>SC-R01</t>
        </is>
      </c>
      <c r="C2" s="3" t="inlineStr">
        <is>
          <t>Tạo vị trí tuyển dụng mới hợp lệ</t>
        </is>
      </c>
      <c r="D2" s="3" t="inlineStr">
        <is>
          <t>Admin/HR đã đăng nhập; Job Titles đã được cấu hình</t>
        </is>
      </c>
      <c r="E2" s="3" t="inlineStr">
        <is>
          <t>1. Vào Recruitment &gt; Vacancies
2. Nhấn Add
3. Điền Job Title, Hiring Manager, No. of Positions
4. Save</t>
        </is>
      </c>
      <c r="F2" s="3" t="inlineStr">
        <is>
          <t>Job Title: Software Engineer
Hiring Manager: Trần Thị B
Positions: 2</t>
        </is>
      </c>
      <c r="G2" s="3" t="inlineStr">
        <is>
          <t>Vị trí tuyển dụng được tạo; hiển thị trong danh sách Vacancies</t>
        </is>
      </c>
      <c r="H2" s="3" t="inlineStr">
        <is>
          <t>Vị trí tuyển dụng tạo thành công</t>
        </is>
      </c>
      <c r="I2" s="6" t="inlineStr">
        <is>
          <t>Pass</t>
        </is>
      </c>
      <c r="J2" s="2" t="inlineStr">
        <is>
          <t>High</t>
        </is>
      </c>
      <c r="K2" s="10" t="inlineStr">
        <is>
          <t>Yes</t>
        </is>
      </c>
      <c r="L2" s="2" t="inlineStr">
        <is>
          <t>Pass</t>
        </is>
      </c>
      <c r="M2" s="2">
        <f>COUNTIF($I$2:$I$24,"Pass")</f>
        <v/>
      </c>
      <c r="N2" s="2" t="inlineStr">
        <is>
          <t>High</t>
        </is>
      </c>
      <c r="O2" s="2">
        <f>COUNTIF($J$2:$J$24,"High")</f>
        <v/>
      </c>
    </row>
    <row r="3" ht="69.95" customHeight="1">
      <c r="A3" s="5" t="inlineStr">
        <is>
          <t>TC-R02</t>
        </is>
      </c>
      <c r="B3" s="2" t="inlineStr">
        <is>
          <t>SC-R01</t>
        </is>
      </c>
      <c r="C3" s="3" t="inlineStr">
        <is>
          <t>Tạo vị trí thiếu trường Job Title bắt buộc</t>
        </is>
      </c>
      <c r="D3" s="3" t="inlineStr">
        <is>
          <t>Admin đã đăng nhập</t>
        </is>
      </c>
      <c r="E3" s="3" t="inlineStr">
        <is>
          <t>1. Mở form Add Vacancy
2. Để trống Job Title
3. Nhấn Save</t>
        </is>
      </c>
      <c r="F3" s="3" t="inlineStr">
        <is>
          <t>Job Title: (để trống)</t>
        </is>
      </c>
      <c r="G3" s="3" t="inlineStr">
        <is>
          <t>Báo lỗi validation: 'Required fields are missing'</t>
        </is>
      </c>
      <c r="H3" s="3" t="inlineStr">
        <is>
          <t>Hệ thống báo lỗi đúng</t>
        </is>
      </c>
      <c r="I3" s="6" t="inlineStr">
        <is>
          <t>Pass</t>
        </is>
      </c>
      <c r="J3" s="2" t="inlineStr">
        <is>
          <t>High</t>
        </is>
      </c>
      <c r="K3" s="10" t="inlineStr">
        <is>
          <t>Yes</t>
        </is>
      </c>
      <c r="L3" s="2" t="inlineStr">
        <is>
          <t>Fail</t>
        </is>
      </c>
      <c r="M3" s="2">
        <f>COUNTIF($I$2:$I$24,"Fail")</f>
        <v/>
      </c>
      <c r="N3" s="2" t="inlineStr">
        <is>
          <t>Medium</t>
        </is>
      </c>
      <c r="O3" s="2">
        <f>COUNTIF($J$2:$J$24,"Medium")</f>
        <v/>
      </c>
    </row>
    <row r="4" ht="69.95" customHeight="1">
      <c r="A4" s="5" t="inlineStr">
        <is>
          <t>TC-R03</t>
        </is>
      </c>
      <c r="B4" s="2" t="inlineStr">
        <is>
          <t>SC-R02</t>
        </is>
      </c>
      <c r="C4" s="3" t="inlineStr">
        <is>
          <t>Đăng tin tuyển dụng lên careers page</t>
        </is>
      </c>
      <c r="D4" s="3" t="inlineStr">
        <is>
          <t>Vacancy đã tồn tại; Admin đã đăng nhập</t>
        </is>
      </c>
      <c r="E4" s="3" t="inlineStr">
        <is>
          <t>1. Vào Vacancies &gt; Edit vacancy
2. Bật Published = Yes
3. Save</t>
        </is>
      </c>
      <c r="F4" s="3" t="inlineStr">
        <is>
          <t>Vacancy: Software Engineer
Published: Yes</t>
        </is>
      </c>
      <c r="G4" s="3" t="inlineStr">
        <is>
          <t>Vacancy hiển thị trên trang careers công khai</t>
        </is>
      </c>
      <c r="H4" s="3" t="inlineStr">
        <is>
          <t>Vacancy hiển thị đúng trên careers page</t>
        </is>
      </c>
      <c r="I4" s="6" t="inlineStr">
        <is>
          <t>Pass</t>
        </is>
      </c>
      <c r="J4" s="2" t="inlineStr">
        <is>
          <t>High</t>
        </is>
      </c>
      <c r="K4" s="10" t="inlineStr">
        <is>
          <t>Yes</t>
        </is>
      </c>
      <c r="L4" s="2" t="inlineStr">
        <is>
          <t>Total</t>
        </is>
      </c>
      <c r="M4" s="2">
        <f>SUM(M2:M3)</f>
        <v/>
      </c>
      <c r="N4" s="2" t="inlineStr">
        <is>
          <t>Low</t>
        </is>
      </c>
      <c r="O4" s="2">
        <f>COUNTIF($J$2:$J$24,"Low")</f>
        <v/>
      </c>
    </row>
    <row r="5" ht="69.95" customHeight="1">
      <c r="A5" s="5" t="inlineStr">
        <is>
          <t>TC-R04</t>
        </is>
      </c>
      <c r="B5" s="2" t="inlineStr">
        <is>
          <t>SC-R02</t>
        </is>
      </c>
      <c r="C5" s="3" t="inlineStr">
        <is>
          <t>Gỡ tin tuyển dụng đang hoạt động</t>
        </is>
      </c>
      <c r="D5" s="3" t="inlineStr">
        <is>
          <t>Vacancy đang Published = Yes</t>
        </is>
      </c>
      <c r="E5" s="3" t="inlineStr">
        <is>
          <t>1. Edit vacancy
2. Đặt Published = No
3. Save</t>
        </is>
      </c>
      <c r="F5" s="3" t="inlineStr">
        <is>
          <t>Published: No</t>
        </is>
      </c>
      <c r="G5" s="3" t="inlineStr">
        <is>
          <t>Vacancy bị ẩn khỏi careers page ngay lập tức</t>
        </is>
      </c>
      <c r="H5" s="3" t="inlineStr">
        <is>
          <t>Vacancy ẩn thành công</t>
        </is>
      </c>
      <c r="I5" s="6" t="inlineStr">
        <is>
          <t>Pass</t>
        </is>
      </c>
      <c r="J5" s="2" t="inlineStr">
        <is>
          <t>Medium</t>
        </is>
      </c>
      <c r="K5" s="10" t="inlineStr">
        <is>
          <t>Yes</t>
        </is>
      </c>
      <c r="L5" t="inlineStr">
        <is>
          <t>Auto Test</t>
        </is>
      </c>
      <c r="M5">
        <f>COUNTIF($K$2:$K$24,"Yes")</f>
        <v/>
      </c>
    </row>
    <row r="6" ht="69.95" customHeight="1">
      <c r="A6" s="5" t="inlineStr">
        <is>
          <t>TC-R05</t>
        </is>
      </c>
      <c r="B6" s="2" t="inlineStr">
        <is>
          <t>SC-R03</t>
        </is>
      </c>
      <c r="C6" s="3" t="inlineStr">
        <is>
          <t>Ứng viên nộp hồ sơ hợp lệ qua careers page</t>
        </is>
      </c>
      <c r="D6" s="3" t="inlineStr">
        <is>
          <t>Vacancy đang Published; ứng viên truy cập careers URL</t>
        </is>
      </c>
      <c r="E6" s="3" t="inlineStr">
        <is>
          <t>1. Mở careers URL
2. Chọn vacancy Software Engineer
3. Điền họ tên, email
4. Upload CV (PDF)
5. Submit</t>
        </is>
      </c>
      <c r="F6" s="3" t="inlineStr">
        <is>
          <t>Name: Lê Văn C
Email: levanc@gmail.com
CV: cv_levanc.pdf</t>
        </is>
      </c>
      <c r="G6" s="3" t="inlineStr">
        <is>
          <t>Hồ sơ được nộp thành công; xác nhận hiển thị; hồ sơ vào hệ thống</t>
        </is>
      </c>
      <c r="H6" s="3" t="inlineStr">
        <is>
          <t>Hồ sơ nộp thành công, xuất hiện trong hệ thống</t>
        </is>
      </c>
      <c r="I6" s="6" t="inlineStr">
        <is>
          <t>Pass</t>
        </is>
      </c>
      <c r="J6" s="2" t="inlineStr">
        <is>
          <t>High</t>
        </is>
      </c>
      <c r="K6" s="10" t="inlineStr">
        <is>
          <t>Yes</t>
        </is>
      </c>
    </row>
    <row r="7" ht="69.95" customHeight="1">
      <c r="A7" s="5" t="inlineStr">
        <is>
          <t>TC-R06</t>
        </is>
      </c>
      <c r="B7" s="2" t="inlineStr">
        <is>
          <t>SC-R03</t>
        </is>
      </c>
      <c r="C7" s="3" t="inlineStr">
        <is>
          <t>Nộp hồ sơ thiếu CV (bắt buộc)</t>
        </is>
      </c>
      <c r="D7" s="3" t="inlineStr">
        <is>
          <t>Vacancy đang Published</t>
        </is>
      </c>
      <c r="E7" s="3" t="inlineStr">
        <is>
          <t>1. Điền form ứng tuyển đầy đủ
2. Bỏ qua bước upload CV
3. Submit</t>
        </is>
      </c>
      <c r="F7" s="3" t="inlineStr">
        <is>
          <t>(Không upload CV)</t>
        </is>
      </c>
      <c r="G7" s="3" t="inlineStr">
        <is>
          <t>Báo lỗi: 'Resume is required'</t>
        </is>
      </c>
      <c r="H7" s="3" t="inlineStr">
        <is>
          <t>Hệ thống không yêu cầu CV bắt buộc</t>
        </is>
      </c>
      <c r="I7" s="6" t="inlineStr">
        <is>
          <t>Fail</t>
        </is>
      </c>
      <c r="J7" s="2" t="inlineStr">
        <is>
          <t>High</t>
        </is>
      </c>
      <c r="K7" s="10" t="inlineStr">
        <is>
          <t>Yes</t>
        </is>
      </c>
    </row>
    <row r="8" ht="69.95" customHeight="1">
      <c r="A8" s="5" t="inlineStr">
        <is>
          <t>TC-R07</t>
        </is>
      </c>
      <c r="B8" s="2" t="inlineStr">
        <is>
          <t>SC-R04</t>
        </is>
      </c>
      <c r="C8" s="3" t="inlineStr">
        <is>
          <t>HR xem danh sách hồ sơ ứng viên</t>
        </is>
      </c>
      <c r="D8" s="3" t="inlineStr">
        <is>
          <t>HR Manager đã đăng nhập; có hồ sơ cho vacancy</t>
        </is>
      </c>
      <c r="E8" s="3" t="inlineStr">
        <is>
          <t>1. Vào Recruitment &gt; Candidates
2. Filter theo Vacancy = Software Engineer</t>
        </is>
      </c>
      <c r="F8" s="3" t="inlineStr">
        <is>
          <t>Vacancy: Software Engineer</t>
        </is>
      </c>
      <c r="G8" s="3" t="inlineStr">
        <is>
          <t>Tất cả ứng viên của vacancy được hiển thị đầy đủ</t>
        </is>
      </c>
      <c r="H8" s="3" t="inlineStr">
        <is>
          <t>Danh sách ứng viên hiển thị đúng</t>
        </is>
      </c>
      <c r="I8" s="6" t="inlineStr">
        <is>
          <t>Pass</t>
        </is>
      </c>
      <c r="J8" s="2" t="inlineStr">
        <is>
          <t>High</t>
        </is>
      </c>
      <c r="K8" s="10" t="inlineStr">
        <is>
          <t>Yes</t>
        </is>
      </c>
    </row>
    <row r="9" ht="69.95" customHeight="1">
      <c r="A9" s="5" t="inlineStr">
        <is>
          <t>TC-R08</t>
        </is>
      </c>
      <c r="B9" s="2" t="inlineStr">
        <is>
          <t>SC-R04</t>
        </is>
      </c>
      <c r="C9" s="3" t="inlineStr">
        <is>
          <t>Lọc ứng viên theo giai đoạn Application Stage</t>
        </is>
      </c>
      <c r="D9" s="3" t="inlineStr">
        <is>
          <t>HR Manager đã đăng nhập; ứng viên ở nhiều giai đoạn</t>
        </is>
      </c>
      <c r="E9" s="3" t="inlineStr">
        <is>
          <t>1. Vào Candidates list
2. Filter Application Stage = Shortlisted</t>
        </is>
      </c>
      <c r="F9" s="3" t="inlineStr">
        <is>
          <t>Stage: Shortlisted</t>
        </is>
      </c>
      <c r="G9" s="3" t="inlineStr">
        <is>
          <t>Chỉ hiển thị ứng viên đã vào Shortlisted</t>
        </is>
      </c>
      <c r="H9" s="3" t="inlineStr">
        <is>
          <t>Lọc đúng theo giai đoạn</t>
        </is>
      </c>
      <c r="I9" s="6" t="inlineStr">
        <is>
          <t>Pass</t>
        </is>
      </c>
      <c r="J9" s="2" t="inlineStr">
        <is>
          <t>Medium</t>
        </is>
      </c>
      <c r="K9" s="10" t="inlineStr">
        <is>
          <t>Yes</t>
        </is>
      </c>
    </row>
    <row r="10" ht="69.95" customHeight="1">
      <c r="A10" s="5" t="inlineStr">
        <is>
          <t>TC-R09</t>
        </is>
      </c>
      <c r="B10" s="2" t="inlineStr">
        <is>
          <t>SC-R05</t>
        </is>
      </c>
      <c r="C10" s="3" t="inlineStr">
        <is>
          <t>Lên lịch phỏng vấn cho ứng viên</t>
        </is>
      </c>
      <c r="D10" s="3" t="inlineStr">
        <is>
          <t>Ứng viên đã Shortlisted; Interviewer tồn tại</t>
        </is>
      </c>
      <c r="E10" s="3" t="inlineStr">
        <is>
          <t>1. Mở hồ sơ ứng viên Lê Văn C
2. Action &gt; Schedule Interview
3. Nhập Date, Time, Interviewer
4. Save</t>
        </is>
      </c>
      <c r="F10" s="3" t="inlineStr">
        <is>
          <t>Date: 25/07/2025 10:00 AM
Interviewer: Trần Thị B</t>
        </is>
      </c>
      <c r="G10" s="3" t="inlineStr">
        <is>
          <t>Lịch phỏng vấn được tạo; Interviewer nhận thông báo</t>
        </is>
      </c>
      <c r="H10" s="3" t="inlineStr">
        <is>
          <t>Lịch phỏng vấn tạo thành công</t>
        </is>
      </c>
      <c r="I10" s="6" t="inlineStr">
        <is>
          <t>Pass</t>
        </is>
      </c>
      <c r="J10" s="2" t="inlineStr">
        <is>
          <t>High</t>
        </is>
      </c>
      <c r="K10" s="10" t="inlineStr">
        <is>
          <t>Yes</t>
        </is>
      </c>
    </row>
    <row r="11" ht="69.95" customHeight="1">
      <c r="A11" s="5" t="inlineStr">
        <is>
          <t>TC-R10</t>
        </is>
      </c>
      <c r="B11" s="2" t="inlineStr">
        <is>
          <t>SC-R05</t>
        </is>
      </c>
      <c r="C11" s="3" t="inlineStr">
        <is>
          <t>Lên lịch phỏng vấn với ngày trong quá khứ</t>
        </is>
      </c>
      <c r="D11" s="3" t="inlineStr">
        <is>
          <t>Hồ sơ ứng viên đang mở</t>
        </is>
      </c>
      <c r="E11" s="3" t="inlineStr">
        <is>
          <t>1. Action &gt; Schedule Interview
2. Nhập ngày trong quá khứ
3. Save</t>
        </is>
      </c>
      <c r="F11" s="3" t="inlineStr">
        <is>
          <t>Date: 01/01/2024</t>
        </is>
      </c>
      <c r="G11" s="3" t="inlineStr">
        <is>
          <t>Báo lỗi validation: 'Interview date must be in the future'</t>
        </is>
      </c>
      <c r="H11" s="3" t="inlineStr">
        <is>
          <t>Hệ thống không validate ngày quá khứ → Fail</t>
        </is>
      </c>
      <c r="I11" s="6" t="inlineStr">
        <is>
          <t>Fail</t>
        </is>
      </c>
      <c r="J11" s="2" t="inlineStr">
        <is>
          <t>Medium</t>
        </is>
      </c>
      <c r="K11" s="11" t="inlineStr">
        <is>
          <t>No</t>
        </is>
      </c>
    </row>
    <row r="12" ht="69.95" customHeight="1">
      <c r="A12" s="5" t="inlineStr">
        <is>
          <t>TC-R11</t>
        </is>
      </c>
      <c r="B12" s="2" t="inlineStr">
        <is>
          <t>SC-R06</t>
        </is>
      </c>
      <c r="C12" s="3" t="inlineStr">
        <is>
          <t>Ghi nhận kết quả phỏng vấn: Passed</t>
        </is>
      </c>
      <c r="D12" s="3" t="inlineStr">
        <is>
          <t>Lịch phỏng vấn đã được tạo; Interviewer đã đăng nhập</t>
        </is>
      </c>
      <c r="E12" s="3" t="inlineStr">
        <is>
          <t>1. Mở bản ghi phỏng vấn
2. Nhập nhận xét
3. Đặt Result = Passed
4. Save</t>
        </is>
      </c>
      <c r="F12" s="3" t="inlineStr">
        <is>
          <t>Result: Passed
Comment: Ứng viên tốt</t>
        </is>
      </c>
      <c r="G12" s="3" t="inlineStr">
        <is>
          <t>Status phỏng vấn = Passed; giai đoạn ứng viên được cập nhật</t>
        </is>
      </c>
      <c r="H12" s="3" t="inlineStr">
        <is>
          <t>Kết quả Passed lưu thành công</t>
        </is>
      </c>
      <c r="I12" s="6" t="inlineStr">
        <is>
          <t>Pass</t>
        </is>
      </c>
      <c r="J12" s="2" t="inlineStr">
        <is>
          <t>High</t>
        </is>
      </c>
      <c r="K12" s="11" t="inlineStr">
        <is>
          <t>No</t>
        </is>
      </c>
    </row>
    <row r="13" ht="69.95" customHeight="1">
      <c r="A13" s="5" t="inlineStr">
        <is>
          <t>TC-R12</t>
        </is>
      </c>
      <c r="B13" s="2" t="inlineStr">
        <is>
          <t>SC-R06</t>
        </is>
      </c>
      <c r="C13" s="3" t="inlineStr">
        <is>
          <t>Ghi nhận kết quả phỏng vấn: Failed</t>
        </is>
      </c>
      <c r="D13" s="3" t="inlineStr">
        <is>
          <t>Lịch phỏng vấn đã được tạo</t>
        </is>
      </c>
      <c r="E13" s="3" t="inlineStr">
        <is>
          <t>1. Mở bản ghi phỏng vấn
2. Đặt Result = Failed
3. Save</t>
        </is>
      </c>
      <c r="F13" s="3" t="inlineStr">
        <is>
          <t>Result: Failed</t>
        </is>
      </c>
      <c r="G13" s="3" t="inlineStr">
        <is>
          <t>Status = Failed; hồ sơ ứng viên vẫn lưu trong hệ thống</t>
        </is>
      </c>
      <c r="H13" s="3" t="inlineStr">
        <is>
          <t>Kết quả Failed lưu thành công</t>
        </is>
      </c>
      <c r="I13" s="6" t="inlineStr">
        <is>
          <t>Pass</t>
        </is>
      </c>
      <c r="J13" s="2" t="inlineStr">
        <is>
          <t>Medium</t>
        </is>
      </c>
      <c r="K13" s="11" t="inlineStr">
        <is>
          <t>No</t>
        </is>
      </c>
    </row>
    <row r="14" ht="69.95" customHeight="1">
      <c r="A14" s="5" t="inlineStr">
        <is>
          <t>TC-R13</t>
        </is>
      </c>
      <c r="B14" s="2" t="inlineStr">
        <is>
          <t>SC-R07</t>
        </is>
      </c>
      <c r="C14" s="3" t="inlineStr">
        <is>
          <t>Gửi đề nghị làm việc cho ứng viên đạt phỏng vấn</t>
        </is>
      </c>
      <c r="D14" s="3" t="inlineStr">
        <is>
          <t>Ứng viên đã Passed phỏng vấn; HR đã đăng nhập</t>
        </is>
      </c>
      <c r="E14" s="3" t="inlineStr">
        <is>
          <t>1. Mở hồ sơ ứng viên Lê Văn C
2. Action &gt; Offer Job
3. Xác nhận</t>
        </is>
      </c>
      <c r="F14" s="3" t="inlineStr">
        <is>
          <t>Ứng viên: Lê Văn C (Passed)</t>
        </is>
      </c>
      <c r="G14" s="3" t="inlineStr">
        <is>
          <t>Offer được gửi; giai đoạn ứng viên = Offer Extended</t>
        </is>
      </c>
      <c r="H14" s="3" t="inlineStr">
        <is>
          <t>Offer gửi thành công</t>
        </is>
      </c>
      <c r="I14" s="6" t="inlineStr">
        <is>
          <t>Pass</t>
        </is>
      </c>
      <c r="J14" s="2" t="inlineStr">
        <is>
          <t>High</t>
        </is>
      </c>
      <c r="K14" s="11" t="inlineStr">
        <is>
          <t>No</t>
        </is>
      </c>
    </row>
    <row r="15" ht="69.95" customHeight="1">
      <c r="A15" s="5" t="inlineStr">
        <is>
          <t>TC-R14</t>
        </is>
      </c>
      <c r="B15" s="2" t="inlineStr">
        <is>
          <t>SC-R07</t>
        </is>
      </c>
      <c r="C15" s="3" t="inlineStr">
        <is>
          <t>Gửi offer cho ứng viên sai giai đoạn</t>
        </is>
      </c>
      <c r="D15" s="3" t="inlineStr">
        <is>
          <t>Ứng viên đang ở giai đoạn Application Initiated</t>
        </is>
      </c>
      <c r="E15" s="3" t="inlineStr">
        <is>
          <t>1. Mở hồ sơ ứng viên ở giai đoạn ban đầu
2. Thử Action &gt; Offer Job</t>
        </is>
      </c>
      <c r="F15" s="3" t="inlineStr">
        <is>
          <t>Stage: Application Initiated</t>
        </is>
      </c>
      <c r="G15" s="3" t="inlineStr">
        <is>
          <t>Action không khả dụng hoặc hiển thị cảnh báo</t>
        </is>
      </c>
      <c r="H15" s="3" t="inlineStr">
        <is>
          <t>Hệ thống vẫn cho gửi offer → Fail</t>
        </is>
      </c>
      <c r="I15" s="6" t="inlineStr">
        <is>
          <t>Fail</t>
        </is>
      </c>
      <c r="J15" s="2" t="inlineStr">
        <is>
          <t>Medium</t>
        </is>
      </c>
      <c r="K15" s="11" t="inlineStr">
        <is>
          <t>No</t>
        </is>
      </c>
    </row>
    <row r="16" ht="69.95" customHeight="1">
      <c r="A16" s="5" t="inlineStr">
        <is>
          <t>TC-R15</t>
        </is>
      </c>
      <c r="B16" s="2" t="inlineStr">
        <is>
          <t>SC-R08</t>
        </is>
      </c>
      <c r="C16" s="3" t="inlineStr">
        <is>
          <t>Chuyển ứng viên thành nhân viên</t>
        </is>
      </c>
      <c r="D16" s="3" t="inlineStr">
        <is>
          <t>Ứng viên đã chấp nhận offer; Admin/HR đã đăng nhập</t>
        </is>
      </c>
      <c r="E16" s="3" t="inlineStr">
        <is>
          <t>1. Mở hồ sơ ứng viên
2. Action &gt; Hire
3. Nhập Joining Date
4. Confirm</t>
        </is>
      </c>
      <c r="F16" s="3" t="inlineStr">
        <is>
          <t>Joining Date: 01/08/2025</t>
        </is>
      </c>
      <c r="G16" s="3" t="inlineStr">
        <is>
          <t>Ứng viên được chuyển thành nhân viên; hồ sơ xuất hiện trong PIM</t>
        </is>
      </c>
      <c r="H16" s="3" t="inlineStr">
        <is>
          <t>Hire thành công, nhân viên mới tạo trong PIM</t>
        </is>
      </c>
      <c r="I16" s="6" t="inlineStr">
        <is>
          <t>Pass</t>
        </is>
      </c>
      <c r="J16" s="2" t="inlineStr">
        <is>
          <t>High</t>
        </is>
      </c>
      <c r="K16" s="11" t="inlineStr">
        <is>
          <t>No</t>
        </is>
      </c>
    </row>
    <row r="17" ht="69.95" customHeight="1">
      <c r="A17" s="5" t="inlineStr">
        <is>
          <t>TC-R16</t>
        </is>
      </c>
      <c r="B17" s="2" t="inlineStr">
        <is>
          <t>SC-R08</t>
        </is>
      </c>
      <c r="C17" s="3" t="inlineStr">
        <is>
          <t>Hire ứng viên thiếu ngày vào làm</t>
        </is>
      </c>
      <c r="D17" s="3" t="inlineStr">
        <is>
          <t>Ứng viên đã chấp nhận offer</t>
        </is>
      </c>
      <c r="E17" s="3" t="inlineStr">
        <is>
          <t>1. Action &gt; Hire
2. Để trống Joining Date
3. Confirm</t>
        </is>
      </c>
      <c r="F17" s="3" t="inlineStr">
        <is>
          <t>Joining Date: (để trống)</t>
        </is>
      </c>
      <c r="G17" s="3" t="inlineStr">
        <is>
          <t>Báo lỗi validation: 'Joining date is required'</t>
        </is>
      </c>
      <c r="H17" s="3" t="inlineStr">
        <is>
          <t>Hệ thống không validate trường ngày vào làm → Fail</t>
        </is>
      </c>
      <c r="I17" s="6" t="inlineStr">
        <is>
          <t>Fail</t>
        </is>
      </c>
      <c r="J17" s="2" t="inlineStr">
        <is>
          <t>Medium</t>
        </is>
      </c>
      <c r="K17" s="11" t="inlineStr">
        <is>
          <t>No</t>
        </is>
      </c>
    </row>
    <row r="18" ht="69.95" customHeight="1">
      <c r="A18" s="5" t="inlineStr">
        <is>
          <t>TC-R17</t>
        </is>
      </c>
      <c r="B18" s="2" t="inlineStr">
        <is>
          <t>SC-R09</t>
        </is>
      </c>
      <c r="C18" s="3" t="inlineStr">
        <is>
          <t>Từ chối hồ sơ ứng tuyển</t>
        </is>
      </c>
      <c r="D18" s="3" t="inlineStr">
        <is>
          <t>HR đã đăng nhập; hồ sơ ứng viên tồn tại</t>
        </is>
      </c>
      <c r="E18" s="3" t="inlineStr">
        <is>
          <t>1. Mở hồ sơ ứng viên
2. Action &gt; Reject
3. Xác nhận</t>
        </is>
      </c>
      <c r="F18" s="3" t="inlineStr">
        <is>
          <t>Ứng viên: Lê Văn C</t>
        </is>
      </c>
      <c r="G18" s="3" t="inlineStr">
        <is>
          <t>Status = Rejected; ứng viên không còn trong pipeline tuyển dụng</t>
        </is>
      </c>
      <c r="H18" s="3" t="inlineStr">
        <is>
          <t>Từ chối hồ sơ thành công</t>
        </is>
      </c>
      <c r="I18" s="6" t="inlineStr">
        <is>
          <t>Pass</t>
        </is>
      </c>
      <c r="J18" s="2" t="inlineStr">
        <is>
          <t>High</t>
        </is>
      </c>
      <c r="K18" s="10" t="inlineStr">
        <is>
          <t>Yes</t>
        </is>
      </c>
    </row>
    <row r="19" ht="69.95" customHeight="1">
      <c r="A19" s="5" t="inlineStr">
        <is>
          <t>TC-R18</t>
        </is>
      </c>
      <c r="B19" s="2" t="inlineStr">
        <is>
          <t>SC-R09</t>
        </is>
      </c>
      <c r="C19" s="3" t="inlineStr">
        <is>
          <t>Từ chối ứng viên đã được tuyển dụng</t>
        </is>
      </c>
      <c r="D19" s="3" t="inlineStr">
        <is>
          <t>Ứng viên Status = Hired</t>
        </is>
      </c>
      <c r="E19" s="3" t="inlineStr">
        <is>
          <t>1. Mở hồ sơ ứng viên đã Hired
2. Thử Action &gt; Reject</t>
        </is>
      </c>
      <c r="F19" s="3" t="inlineStr">
        <is>
          <t>Status: Hired</t>
        </is>
      </c>
      <c r="G19" s="3" t="inlineStr">
        <is>
          <t>Action Reject bị vô hiệu hoá cho ứng viên đã được tuyển</t>
        </is>
      </c>
      <c r="H19" s="3" t="inlineStr">
        <is>
          <t>Hệ thống vẫn cho Reject ứng viên đã Hired → Fail</t>
        </is>
      </c>
      <c r="I19" s="6" t="inlineStr">
        <is>
          <t>Fail</t>
        </is>
      </c>
      <c r="J19" s="2" t="inlineStr">
        <is>
          <t>Medium</t>
        </is>
      </c>
      <c r="K19" s="11" t="inlineStr">
        <is>
          <t>No</t>
        </is>
      </c>
    </row>
    <row r="20" ht="69.95" customHeight="1">
      <c r="A20" s="5" t="inlineStr">
        <is>
          <t>TC-R19</t>
        </is>
      </c>
      <c r="B20" s="2" t="inlineStr">
        <is>
          <t>SC-R10</t>
        </is>
      </c>
      <c r="C20" s="3" t="inlineStr">
        <is>
          <t>Tìm kiếm ứng viên theo tên</t>
        </is>
      </c>
      <c r="D20" s="3" t="inlineStr">
        <is>
          <t>Nhiều ứng viên tồn tại; HR đã đăng nhập</t>
        </is>
      </c>
      <c r="E20" s="3" t="inlineStr">
        <is>
          <t>1. Vào Candidates
2. Nhập tên ứng viên vào ô tìm kiếm
3. Nhấn Search</t>
        </is>
      </c>
      <c r="F20" s="3" t="inlineStr">
        <is>
          <t>Name: Lê Văn</t>
        </is>
      </c>
      <c r="G20" s="3" t="inlineStr">
        <is>
          <t>Danh sách ứng viên khớp với tên được hiển thị</t>
        </is>
      </c>
      <c r="H20" s="3" t="inlineStr">
        <is>
          <t>Tìm kiếm trả về kết quả đúng</t>
        </is>
      </c>
      <c r="I20" s="6" t="inlineStr">
        <is>
          <t>Pass</t>
        </is>
      </c>
      <c r="J20" s="2" t="inlineStr">
        <is>
          <t>Medium</t>
        </is>
      </c>
      <c r="K20" s="10" t="inlineStr">
        <is>
          <t>Yes</t>
        </is>
      </c>
    </row>
    <row r="21" ht="69.95" customHeight="1">
      <c r="A21" s="5" t="inlineStr">
        <is>
          <t>TC-R20</t>
        </is>
      </c>
      <c r="B21" s="2" t="inlineStr">
        <is>
          <t>SC-R10</t>
        </is>
      </c>
      <c r="C21" s="3" t="inlineStr">
        <is>
          <t>Tìm kiếm ứng viên không có kết quả</t>
        </is>
      </c>
      <c r="D21" s="3" t="inlineStr">
        <is>
          <t>HR đã đăng nhập</t>
        </is>
      </c>
      <c r="E21" s="3" t="inlineStr">
        <is>
          <t>1. Vào Candidates
2. Nhập tên không tồn tại
3. Search</t>
        </is>
      </c>
      <c r="F21" s="3" t="inlineStr">
        <is>
          <t>Name: XYZABC123</t>
        </is>
      </c>
      <c r="G21" s="3" t="inlineStr">
        <is>
          <t>Hiển thị thông báo 'No Records Found'</t>
        </is>
      </c>
      <c r="H21" s="3" t="inlineStr">
        <is>
          <t>Hệ thống hiển thị không có kết quả đúng</t>
        </is>
      </c>
      <c r="I21" s="6" t="inlineStr">
        <is>
          <t>Pass</t>
        </is>
      </c>
      <c r="J21" s="2" t="inlineStr">
        <is>
          <t>Low</t>
        </is>
      </c>
      <c r="K21" s="10" t="inlineStr">
        <is>
          <t>Yes</t>
        </is>
      </c>
    </row>
    <row r="22" ht="69.95" customHeight="1">
      <c r="A22" s="5" t="inlineStr">
        <is>
          <t>TC-R22</t>
        </is>
      </c>
      <c r="B22" s="2" t="inlineStr">
        <is>
          <t>SC-R05</t>
        </is>
      </c>
      <c r="C22" s="3" t="inlineStr">
        <is>
          <t>Lên lịch phỏng vấn với nhiều người phỏng vấn</t>
        </is>
      </c>
      <c r="D22" s="3" t="inlineStr">
        <is>
          <t>Form phỏng vấn đang mở; nhiều nhân viên tồn tại</t>
        </is>
      </c>
      <c r="E22" s="3" t="inlineStr">
        <is>
          <t>1. Schedule Interview
2. Thêm 2+ Interviewers
3. Save</t>
        </is>
      </c>
      <c r="F22" s="3" t="inlineStr">
        <is>
          <t>Interviewers: Trần Thị B, Nguyễn Văn A</t>
        </is>
      </c>
      <c r="G22" s="3" t="inlineStr">
        <is>
          <t>Tất cả Interviewer được lưu; mỗi người nhận thông báo</t>
        </is>
      </c>
      <c r="H22" s="3" t="inlineStr">
        <is>
          <t>Nhiều Interviewer lưu thành công</t>
        </is>
      </c>
      <c r="I22" s="6" t="inlineStr">
        <is>
          <t>Pass</t>
        </is>
      </c>
      <c r="J22" s="2" t="inlineStr">
        <is>
          <t>Medium</t>
        </is>
      </c>
      <c r="K22" s="11" t="inlineStr">
        <is>
          <t>No</t>
        </is>
      </c>
    </row>
    <row r="23" ht="69.95" customHeight="1">
      <c r="A23" s="5" t="inlineStr">
        <is>
          <t>TC-R23</t>
        </is>
      </c>
      <c r="B23" s="2" t="inlineStr">
        <is>
          <t>SC-R03</t>
        </is>
      </c>
      <c r="C23" s="3" t="inlineStr">
        <is>
          <t>Upload CV định dạng không được hỗ trợ</t>
        </is>
      </c>
      <c r="D23" s="3" t="inlineStr">
        <is>
          <t>Form ứng tuyển đang mở</t>
        </is>
      </c>
      <c r="E23" s="3" t="inlineStr">
        <is>
          <t>1. Điền form ứng tuyển
2. Upload file .exe thay cho CV
3. Submit</t>
        </is>
      </c>
      <c r="F23" s="3" t="inlineStr">
        <is>
          <t>File: malware.exe</t>
        </is>
      </c>
      <c r="G23" s="3" t="inlineStr">
        <is>
          <t>Báo lỗi: 'Unsupported file type; only PDF, DOC, DOCX allowed'</t>
        </is>
      </c>
      <c r="H23" s="3" t="inlineStr">
        <is>
          <t>Hệ thống không chặn định dạng file nguy hiểm → Fail</t>
        </is>
      </c>
      <c r="I23" s="6" t="inlineStr">
        <is>
          <t>Fail</t>
        </is>
      </c>
      <c r="J23" s="2" t="inlineStr">
        <is>
          <t>High</t>
        </is>
      </c>
      <c r="K23" s="11" t="inlineStr">
        <is>
          <t>No</t>
        </is>
      </c>
    </row>
    <row r="24" ht="69.95" customHeight="1">
      <c r="A24" s="5" t="inlineStr">
        <is>
          <t>TC-R24</t>
        </is>
      </c>
      <c r="B24" s="2" t="inlineStr">
        <is>
          <t>SC-R04</t>
        </is>
      </c>
      <c r="C24" s="3" t="inlineStr">
        <is>
          <t>Sắp xếp ứng viên theo ngày nộp hồ sơ</t>
        </is>
      </c>
      <c r="D24" s="3" t="inlineStr">
        <is>
          <t>Nhiều ứng viên tồn tại</t>
        </is>
      </c>
      <c r="E24" s="3" t="inlineStr">
        <is>
          <t>1. Vào Candidates list
2. Nhấn vào cột 'Date of Application'</t>
        </is>
      </c>
      <c r="F24" s="3" t="inlineStr">
        <is>
          <t>(Nhiều ứng viên có ngày khác nhau)</t>
        </is>
      </c>
      <c r="G24" s="3" t="inlineStr">
        <is>
          <t>Danh sách sắp xếp tăng/giảm dần theo ngày nộp hồ sơ</t>
        </is>
      </c>
      <c r="H24" s="3" t="inlineStr">
        <is>
          <t>Sắp xếp theo ngày hoạt động đúng</t>
        </is>
      </c>
      <c r="I24" s="6" t="inlineStr">
        <is>
          <t>Pass</t>
        </is>
      </c>
      <c r="J24" s="2" t="inlineStr">
        <is>
          <t>Low</t>
        </is>
      </c>
      <c r="K24" s="10" t="inlineStr">
        <is>
          <t>Yes</t>
        </is>
      </c>
    </row>
    <row r="25" ht="69.95" customHeight="1"/>
  </sheetData>
  <dataValidations count="1">
    <dataValidation sqref="I2 I3 I4 I5 I6 I7 I8 I9 I10 I11 I12 I13 I14 I15 I16 I17 I18 I19 I20 I21 I22 I23 I24 I25" showDropDown="0" showInputMessage="0" showErrorMessage="0" allowBlank="0" type="list">
      <formula1>"Pass,Fail"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4"/>
  <sheetViews>
    <sheetView showGridLines="0" workbookViewId="0">
      <pane ySplit="1" topLeftCell="A20" activePane="bottomLeft" state="frozen"/>
      <selection pane="bottomLeft" activeCell="H2" sqref="H2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30" customWidth="1" min="4" max="4"/>
    <col width="40" customWidth="1" min="5" max="5"/>
    <col width="30" customWidth="1" min="6" max="6"/>
    <col width="35" customWidth="1" min="7" max="8"/>
    <col width="35" customWidth="1" min="8" max="8"/>
    <col width="12" customWidth="1" style="7" min="9" max="9"/>
    <col width="12" customWidth="1" min="10" max="10"/>
    <col width="10" customWidth="1" min="11" max="11"/>
    <col width="12" customWidth="1" min="12" max="12"/>
    <col width="13" customWidth="1" min="13" max="13"/>
    <col width="16" customWidth="1" min="14" max="15"/>
  </cols>
  <sheetData>
    <row r="1" ht="39.95" customHeight="1">
      <c r="A1" s="1" t="inlineStr">
        <is>
          <t>Test Case ID</t>
        </is>
      </c>
      <c r="B1" s="1" t="inlineStr">
        <is>
          <t>Scenario ID</t>
        </is>
      </c>
      <c r="C1" s="1" t="inlineStr">
        <is>
          <t>Mô tả Test Case</t>
        </is>
      </c>
      <c r="D1" s="1" t="inlineStr">
        <is>
          <t>Điều kiện tiên quyết
(Pre-conditions)</t>
        </is>
      </c>
      <c r="E1" s="1" t="inlineStr">
        <is>
          <t>Các bước thực hiện
(Test Steps)</t>
        </is>
      </c>
      <c r="F1" s="1" t="inlineStr">
        <is>
          <t>Dữ liệu kiểm thử
(Test Data)</t>
        </is>
      </c>
      <c r="G1" s="1" t="inlineStr">
        <is>
          <t>Kết quả mong đợi
(Expected Result)</t>
        </is>
      </c>
      <c r="H1" s="1" t="inlineStr">
        <is>
          <t>Kết quả thực tế
(Actual Result)</t>
        </is>
      </c>
      <c r="I1" s="1" t="inlineStr">
        <is>
          <t>Trạng thái
(Status)</t>
        </is>
      </c>
      <c r="J1" s="1" t="inlineStr">
        <is>
          <t>Test Priority</t>
        </is>
      </c>
      <c r="K1" s="9" t="inlineStr">
        <is>
          <t>Auto Test</t>
        </is>
      </c>
      <c r="L1" s="4" t="inlineStr">
        <is>
          <t>Status name</t>
        </is>
      </c>
      <c r="M1" s="4" t="inlineStr">
        <is>
          <t>Status count</t>
        </is>
      </c>
      <c r="N1" s="4" t="inlineStr">
        <is>
          <t>Test Priority name</t>
        </is>
      </c>
      <c r="O1" s="4" t="inlineStr">
        <is>
          <t>Test Priority count</t>
        </is>
      </c>
    </row>
    <row r="2" ht="69.95" customHeight="1">
      <c r="A2" s="5" t="inlineStr">
        <is>
          <t>TC-I01</t>
        </is>
      </c>
      <c r="B2" s="2" t="inlineStr">
        <is>
          <t>SC-I01</t>
        </is>
      </c>
      <c r="C2" s="3" t="inlineStr">
        <is>
          <t>Cập nhật thông tin cá nhân hợp lệ</t>
        </is>
      </c>
      <c r="D2" s="3" t="inlineStr">
        <is>
          <t>Nhân viên đã đăng nhập</t>
        </is>
      </c>
      <c r="E2" s="3" t="inlineStr">
        <is>
          <t>1. Vào My Info &gt; Personal Details
2. Sửa First Name, Last Name, Gender, DOB
3. Nhấn Save</t>
        </is>
      </c>
      <c r="F2" s="3" t="inlineStr">
        <is>
          <t>First Name: Văn
Last Name: An
Gender: Male
DOB: 15/05/1995</t>
        </is>
      </c>
      <c r="G2" s="3" t="inlineStr">
        <is>
          <t>Thay đổi được lưu; thông tin hiển thị đúng trên profile</t>
        </is>
      </c>
      <c r="H2" s="3" t="inlineStr">
        <is>
          <t>Thông tin cập nhật thành công</t>
        </is>
      </c>
      <c r="I2" s="6" t="inlineStr">
        <is>
          <t>Pass</t>
        </is>
      </c>
      <c r="J2" s="2" t="inlineStr">
        <is>
          <t>High</t>
        </is>
      </c>
      <c r="K2" s="10" t="inlineStr">
        <is>
          <t>Yes</t>
        </is>
      </c>
      <c r="L2" s="2" t="inlineStr">
        <is>
          <t>Pass</t>
        </is>
      </c>
      <c r="M2" s="2">
        <f>COUNTIF($I$2:$I$24,"Pass")</f>
        <v/>
      </c>
      <c r="N2" s="2" t="inlineStr">
        <is>
          <t>High</t>
        </is>
      </c>
      <c r="O2" s="2">
        <f>COUNTIF($J$2:$J$24,"High")</f>
        <v/>
      </c>
    </row>
    <row r="3" ht="69.95" customHeight="1">
      <c r="A3" s="5" t="inlineStr">
        <is>
          <t>TC-I02</t>
        </is>
      </c>
      <c r="B3" s="2" t="inlineStr">
        <is>
          <t>SC-I01</t>
        </is>
      </c>
      <c r="C3" s="3" t="inlineStr">
        <is>
          <t>Lưu Personal Details với First Name để trống</t>
        </is>
      </c>
      <c r="D3" s="3" t="inlineStr">
        <is>
          <t>Nhân viên đã đăng nhập</t>
        </is>
      </c>
      <c r="E3" s="3" t="inlineStr">
        <is>
          <t>1. Vào Personal Details
2. Xóa trường First Name
3. Nhấn Save</t>
        </is>
      </c>
      <c r="F3" s="3" t="inlineStr">
        <is>
          <t>First Name: (để trống)</t>
        </is>
      </c>
      <c r="G3" s="3" t="inlineStr">
        <is>
          <t>Báo lỗi validation: 'First Name is required'</t>
        </is>
      </c>
      <c r="H3" s="3" t="inlineStr">
        <is>
          <t>Hệ thống báo lỗi đúng</t>
        </is>
      </c>
      <c r="I3" s="6" t="inlineStr">
        <is>
          <t>Pass</t>
        </is>
      </c>
      <c r="J3" s="2" t="inlineStr">
        <is>
          <t>High</t>
        </is>
      </c>
      <c r="K3" s="10" t="inlineStr">
        <is>
          <t>Yes</t>
        </is>
      </c>
      <c r="L3" s="2" t="inlineStr">
        <is>
          <t>Fail</t>
        </is>
      </c>
      <c r="M3" s="2">
        <f>COUNTIF($I$2:$I$24,"Fail")</f>
        <v/>
      </c>
      <c r="N3" s="2" t="inlineStr">
        <is>
          <t>Medium</t>
        </is>
      </c>
      <c r="O3" s="2">
        <f>COUNTIF($J$2:$J$24,"Medium")</f>
        <v/>
      </c>
    </row>
    <row r="4" ht="69.95" customHeight="1">
      <c r="A4" s="5" t="inlineStr">
        <is>
          <t>TC-I03</t>
        </is>
      </c>
      <c r="B4" s="2" t="inlineStr">
        <is>
          <t>SC-I01</t>
        </is>
      </c>
      <c r="C4" s="3" t="inlineStr">
        <is>
          <t>Cập nhật quốc tịch</t>
        </is>
      </c>
      <c r="D4" s="3" t="inlineStr">
        <is>
          <t>Nhân viên đã đăng nhập</t>
        </is>
      </c>
      <c r="E4" s="3" t="inlineStr">
        <is>
          <t>1. Personal Details
2. Đổi Nationality
3. Save</t>
        </is>
      </c>
      <c r="F4" s="3" t="inlineStr">
        <is>
          <t>Nationality: Vietnamese</t>
        </is>
      </c>
      <c r="G4" s="3" t="inlineStr">
        <is>
          <t>Quốc tịch được cập nhật và lưu chính xác</t>
        </is>
      </c>
      <c r="H4" s="3" t="inlineStr">
        <is>
          <t>Nationality cập nhật đúng</t>
        </is>
      </c>
      <c r="I4" s="6" t="inlineStr">
        <is>
          <t>Pass</t>
        </is>
      </c>
      <c r="J4" s="2" t="inlineStr">
        <is>
          <t>Medium</t>
        </is>
      </c>
      <c r="K4" s="10" t="inlineStr">
        <is>
          <t>Yes</t>
        </is>
      </c>
      <c r="L4" s="2" t="inlineStr">
        <is>
          <t>Total</t>
        </is>
      </c>
      <c r="M4" s="2">
        <f>SUM(M2:M3)</f>
        <v/>
      </c>
      <c r="N4" s="2" t="inlineStr">
        <is>
          <t>Low</t>
        </is>
      </c>
      <c r="O4" s="2">
        <f>COUNTIF($J$2:$J$24,"Low")</f>
        <v/>
      </c>
    </row>
    <row r="5" ht="69.95" customHeight="1">
      <c r="A5" s="5" t="inlineStr">
        <is>
          <t>TC-I04</t>
        </is>
      </c>
      <c r="B5" s="2" t="inlineStr">
        <is>
          <t>SC-I02</t>
        </is>
      </c>
      <c r="C5" s="3" t="inlineStr">
        <is>
          <t>Thêm địa chỉ nhà</t>
        </is>
      </c>
      <c r="D5" s="3" t="inlineStr">
        <is>
          <t>Nhân viên đã đăng nhập</t>
        </is>
      </c>
      <c r="E5" s="3" t="inlineStr">
        <is>
          <t>1. Vào My Info &gt; Contact Details
2. Nhập Street, City, Country
3. Save</t>
        </is>
      </c>
      <c r="F5" s="3" t="inlineStr">
        <is>
          <t>Street: 123 Lý Thường Kiệt
City: Hồ Chí Minh
Country: Vietnam</t>
        </is>
      </c>
      <c r="G5" s="3" t="inlineStr">
        <is>
          <t>Địa chỉ được lưu; hiển thị trong Contact Details</t>
        </is>
      </c>
      <c r="H5" s="3" t="inlineStr">
        <is>
          <t>Địa chỉ lưu thành công</t>
        </is>
      </c>
      <c r="I5" s="6" t="inlineStr">
        <is>
          <t>Pass</t>
        </is>
      </c>
      <c r="J5" s="2" t="inlineStr">
        <is>
          <t>High</t>
        </is>
      </c>
      <c r="K5" s="10" t="inlineStr">
        <is>
          <t>Yes</t>
        </is>
      </c>
      <c r="L5" t="inlineStr">
        <is>
          <t>Auto Test</t>
        </is>
      </c>
      <c r="M5">
        <f>COUNTIF($K$2:$K$24,"Yes")</f>
        <v/>
      </c>
    </row>
    <row r="6" ht="69.95" customHeight="1">
      <c r="A6" s="5" t="inlineStr">
        <is>
          <t>TC-I05</t>
        </is>
      </c>
      <c r="B6" s="2" t="inlineStr">
        <is>
          <t>SC-I02</t>
        </is>
      </c>
      <c r="C6" s="3" t="inlineStr">
        <is>
          <t>Nhập số điện thoại sai định dạng</t>
        </is>
      </c>
      <c r="D6" s="3" t="inlineStr">
        <is>
          <t>Nhân viên đã đăng nhập</t>
        </is>
      </c>
      <c r="E6" s="3" t="inlineStr">
        <is>
          <t>1. Contact Details
2. Nhập chữ vào trường điện thoại
3. Save</t>
        </is>
      </c>
      <c r="F6" s="3" t="inlineStr">
        <is>
          <t>Mobile: abcdefghij</t>
        </is>
      </c>
      <c r="G6" s="3" t="inlineStr">
        <is>
          <t>Báo lỗi validation: 'Enter a valid phone number'</t>
        </is>
      </c>
      <c r="H6" s="3" t="inlineStr">
        <is>
          <t>Hệ thống không validate định dạng SĐT</t>
        </is>
      </c>
      <c r="I6" s="6" t="inlineStr">
        <is>
          <t>Fail</t>
        </is>
      </c>
      <c r="J6" s="2" t="inlineStr">
        <is>
          <t>Medium</t>
        </is>
      </c>
      <c r="K6" s="10" t="inlineStr">
        <is>
          <t>Yes</t>
        </is>
      </c>
    </row>
    <row r="7" ht="69.95" customHeight="1">
      <c r="A7" s="5" t="inlineStr">
        <is>
          <t>TC-I06</t>
        </is>
      </c>
      <c r="B7" s="2" t="inlineStr">
        <is>
          <t>SC-I03</t>
        </is>
      </c>
      <c r="C7" s="3" t="inlineStr">
        <is>
          <t>Thêm người liên hệ khẩn cấp</t>
        </is>
      </c>
      <c r="D7" s="3" t="inlineStr">
        <is>
          <t>Nhân viên đã đăng nhập</t>
        </is>
      </c>
      <c r="E7" s="3" t="inlineStr">
        <is>
          <t>1. My Info &gt; Emergency Contacts
2. Nhấn Add
3. Nhập Name, Relationship, Mobile
4. Save</t>
        </is>
      </c>
      <c r="F7" s="3" t="inlineStr">
        <is>
          <t>Name: Trần Thị Mẹ
Relationship: Parent
Mobile: 0912345678</t>
        </is>
      </c>
      <c r="G7" s="3" t="inlineStr">
        <is>
          <t>Liên hệ khẩn cấp được lưu; hiển thị trong danh sách</t>
        </is>
      </c>
      <c r="H7" s="3" t="inlineStr">
        <is>
          <t>Liên hệ khẩn cấp lưu thành công</t>
        </is>
      </c>
      <c r="I7" s="6" t="inlineStr">
        <is>
          <t>Pass</t>
        </is>
      </c>
      <c r="J7" s="2" t="inlineStr">
        <is>
          <t>High</t>
        </is>
      </c>
      <c r="K7" s="10" t="inlineStr">
        <is>
          <t>Yes</t>
        </is>
      </c>
    </row>
    <row r="8" ht="69.95" customHeight="1">
      <c r="A8" s="5" t="inlineStr">
        <is>
          <t>TC-I07</t>
        </is>
      </c>
      <c r="B8" s="2" t="inlineStr">
        <is>
          <t>SC-I03</t>
        </is>
      </c>
      <c r="C8" s="3" t="inlineStr">
        <is>
          <t>Xóa người liên hệ khẩn cấp</t>
        </is>
      </c>
      <c r="D8" s="3" t="inlineStr">
        <is>
          <t>Đã có ít nhất 1 liên hệ khẩn cấp</t>
        </is>
      </c>
      <c r="E8" s="3" t="inlineStr">
        <is>
          <t>1. My Info &gt; Emergency Contacts
2. Tích chọn liên hệ
3. Nhấn Delete
4. Xác nhận</t>
        </is>
      </c>
      <c r="F8" s="3" t="inlineStr">
        <is>
          <t>Liên hệ: Trần Thị Mẹ</t>
        </is>
      </c>
      <c r="G8" s="3" t="inlineStr">
        <is>
          <t>Liên hệ bị xóa; không còn trong danh sách</t>
        </is>
      </c>
      <c r="H8" s="3" t="inlineStr">
        <is>
          <t>Xóa liên hệ thành công</t>
        </is>
      </c>
      <c r="I8" s="6" t="inlineStr">
        <is>
          <t>Pass</t>
        </is>
      </c>
      <c r="J8" s="2" t="inlineStr">
        <is>
          <t>Medium</t>
        </is>
      </c>
      <c r="K8" s="10" t="inlineStr">
        <is>
          <t>Yes</t>
        </is>
      </c>
    </row>
    <row r="9" ht="69.95" customHeight="1">
      <c r="A9" s="5" t="inlineStr">
        <is>
          <t>TC-I08</t>
        </is>
      </c>
      <c r="B9" s="2" t="inlineStr">
        <is>
          <t>SC-I04</t>
        </is>
      </c>
      <c r="C9" s="3" t="inlineStr">
        <is>
          <t>Thêm thông tin người phụ thuộc</t>
        </is>
      </c>
      <c r="D9" s="3" t="inlineStr">
        <is>
          <t>Nhân viên đã đăng nhập</t>
        </is>
      </c>
      <c r="E9" s="3" t="inlineStr">
        <is>
          <t>1. My Info &gt; Dependents
2. Nhấn Add
3. Nhập Name, Relationship, DOB
4. Save</t>
        </is>
      </c>
      <c r="F9" s="3" t="inlineStr">
        <is>
          <t>Name: Nguyễn Văn Con
Relationship: Child
DOB: 01/01/2018</t>
        </is>
      </c>
      <c r="G9" s="3" t="inlineStr">
        <is>
          <t>Thông tin người phụ thuộc được lưu; hiển thị trong danh sách</t>
        </is>
      </c>
      <c r="H9" s="3" t="inlineStr">
        <is>
          <t>Dependent lưu thành công</t>
        </is>
      </c>
      <c r="I9" s="6" t="inlineStr">
        <is>
          <t>Pass</t>
        </is>
      </c>
      <c r="J9" s="2" t="inlineStr">
        <is>
          <t>High</t>
        </is>
      </c>
      <c r="K9" s="10" t="inlineStr">
        <is>
          <t>Yes</t>
        </is>
      </c>
    </row>
    <row r="10" ht="69.95" customHeight="1">
      <c r="A10" s="5" t="inlineStr">
        <is>
          <t>TC-I09</t>
        </is>
      </c>
      <c r="B10" s="2" t="inlineStr">
        <is>
          <t>SC-I04</t>
        </is>
      </c>
      <c r="C10" s="3" t="inlineStr">
        <is>
          <t>Thêm người phụ thuộc với DOB trong tương lai</t>
        </is>
      </c>
      <c r="D10" s="3" t="inlineStr">
        <is>
          <t>Nhân viên đã đăng nhập</t>
        </is>
      </c>
      <c r="E10" s="3" t="inlineStr">
        <is>
          <t>1. Add Dependent
2. Nhập DOB = ngày tương lai
3. Save</t>
        </is>
      </c>
      <c r="F10" s="3" t="inlineStr">
        <is>
          <t>DOB: 01/01/2030</t>
        </is>
      </c>
      <c r="G10" s="3" t="inlineStr">
        <is>
          <t>Báo lỗi: 'Date of birth cannot be in the future'</t>
        </is>
      </c>
      <c r="H10" s="3" t="inlineStr">
        <is>
          <t>Hệ thống cho lưu DOB ở tương lai</t>
        </is>
      </c>
      <c r="I10" s="6" t="inlineStr">
        <is>
          <t>Fail</t>
        </is>
      </c>
      <c r="J10" s="2" t="inlineStr">
        <is>
          <t>Medium</t>
        </is>
      </c>
      <c r="K10" s="10" t="inlineStr">
        <is>
          <t>Yes</t>
        </is>
      </c>
    </row>
    <row r="11" ht="69.95" customHeight="1">
      <c r="A11" s="5" t="inlineStr">
        <is>
          <t>TC-I10</t>
        </is>
      </c>
      <c r="B11" s="2" t="inlineStr">
        <is>
          <t>SC-I05</t>
        </is>
      </c>
      <c r="C11" s="3" t="inlineStr">
        <is>
          <t>Thêm thông tin hộ chiếu</t>
        </is>
      </c>
      <c r="D11" s="3" t="inlineStr">
        <is>
          <t>Nhân viên đã đăng nhập</t>
        </is>
      </c>
      <c r="E11" s="3" t="inlineStr">
        <is>
          <t>1. My Info &gt; Immigration
2. Nhấn Add
3. Chọn Document = Passport
4. Nhập số, ngày cấp, ngày hết hạn, country
5. Save</t>
        </is>
      </c>
      <c r="F11" s="3" t="inlineStr">
        <is>
          <t>Number: B12345678
Issued: 01/01/2020
Expiry: 01/01/2030
Country: Vietnam</t>
        </is>
      </c>
      <c r="G11" s="3" t="inlineStr">
        <is>
          <t>Bản ghi hộ chiếu được lưu thành công</t>
        </is>
      </c>
      <c r="H11" s="3" t="inlineStr">
        <is>
          <t>Hộ chiếu lưu thành công</t>
        </is>
      </c>
      <c r="I11" s="6" t="inlineStr">
        <is>
          <t>Pass</t>
        </is>
      </c>
      <c r="J11" s="2" t="inlineStr">
        <is>
          <t>High</t>
        </is>
      </c>
      <c r="K11" s="10" t="inlineStr">
        <is>
          <t>Yes</t>
        </is>
      </c>
    </row>
    <row r="12" ht="69.95" customHeight="1">
      <c r="A12" s="5" t="inlineStr">
        <is>
          <t>TC-I11</t>
        </is>
      </c>
      <c r="B12" s="2" t="inlineStr">
        <is>
          <t>SC-I05</t>
        </is>
      </c>
      <c r="C12" s="3" t="inlineStr">
        <is>
          <t>Thêm hộ chiếu đã hết hạn</t>
        </is>
      </c>
      <c r="D12" s="3" t="inlineStr">
        <is>
          <t>Nhân viên đã đăng nhập</t>
        </is>
      </c>
      <c r="E12" s="3" t="inlineStr">
        <is>
          <t>1. Add Immigration
2. Nhập Expiry Date là ngày quá khứ
3. Save</t>
        </is>
      </c>
      <c r="F12" s="3" t="inlineStr">
        <is>
          <t>Expiry: 01/01/2015</t>
        </is>
      </c>
      <c r="G12" s="3" t="inlineStr">
        <is>
          <t>Bản ghi lưu được; có cảnh báo hộ chiếu đã hết hạn (tuỳ config)</t>
        </is>
      </c>
      <c r="H12" s="3" t="inlineStr">
        <is>
          <t>Hộ chiếu hết hạn vẫn lưu được, hiển thị cảnh báo</t>
        </is>
      </c>
      <c r="I12" s="6" t="inlineStr">
        <is>
          <t>Pass</t>
        </is>
      </c>
      <c r="J12" s="2" t="inlineStr">
        <is>
          <t>Low</t>
        </is>
      </c>
      <c r="K12" s="11" t="inlineStr">
        <is>
          <t>No</t>
        </is>
      </c>
    </row>
    <row r="13" ht="69.95" customHeight="1">
      <c r="A13" s="5" t="inlineStr">
        <is>
          <t>TC-I12</t>
        </is>
      </c>
      <c r="B13" s="2" t="inlineStr">
        <is>
          <t>SC-I06</t>
        </is>
      </c>
      <c r="C13" s="3" t="inlineStr">
        <is>
          <t>Nhân viên xem thông tin công việc (chỉ đọc)</t>
        </is>
      </c>
      <c r="D13" s="3" t="inlineStr">
        <is>
          <t>Nhân viên đã đăng nhập</t>
        </is>
      </c>
      <c r="E13" s="3" t="inlineStr">
        <is>
          <t>1. My Info &gt; Job
2. Xem Job Title, Department, Location</t>
        </is>
      </c>
      <c r="F13" s="3" t="inlineStr">
        <is>
          <t>(Thông tin công việc hiện tại)</t>
        </is>
      </c>
      <c r="G13" s="3" t="inlineStr">
        <is>
          <t>Thông tin công việc hiển thị ở chế độ chỉ đọc, không sửa được</t>
        </is>
      </c>
      <c r="H13" s="3" t="inlineStr">
        <is>
          <t>Job info hiển thị read-only đúng</t>
        </is>
      </c>
      <c r="I13" s="6" t="inlineStr">
        <is>
          <t>Pass</t>
        </is>
      </c>
      <c r="J13" s="2" t="inlineStr">
        <is>
          <t>Medium</t>
        </is>
      </c>
      <c r="K13" s="11" t="inlineStr">
        <is>
          <t>No</t>
        </is>
      </c>
    </row>
    <row r="14" ht="69.95" customHeight="1">
      <c r="A14" s="5" t="inlineStr">
        <is>
          <t>TC-I13</t>
        </is>
      </c>
      <c r="B14" s="2" t="inlineStr">
        <is>
          <t>SC-I06</t>
        </is>
      </c>
      <c r="C14" s="3" t="inlineStr">
        <is>
          <t>Admin chỉnh sửa chức danh nhân viên</t>
        </is>
      </c>
      <c r="D14" s="3" t="inlineStr">
        <is>
          <t>Admin đã đăng nhập; hồ sơ nhân viên đang tồn tại</t>
        </is>
      </c>
      <c r="E14" s="3" t="inlineStr">
        <is>
          <t>1. PIM &gt; Employee List
2. Mở hồ sơ nhân viên
3. Tab Job
4. Sửa Job Title
5. Save</t>
        </is>
      </c>
      <c r="F14" s="3" t="inlineStr">
        <is>
          <t>New Job Title: Senior Developer</t>
        </is>
      </c>
      <c r="G14" s="3" t="inlineStr">
        <is>
          <t>Chức danh công việc được cập nhật thành công</t>
        </is>
      </c>
      <c r="H14" s="3" t="inlineStr">
        <is>
          <t>Job Title cập nhật thành công</t>
        </is>
      </c>
      <c r="I14" s="6" t="inlineStr">
        <is>
          <t>Pass</t>
        </is>
      </c>
      <c r="J14" s="2" t="inlineStr">
        <is>
          <t>High</t>
        </is>
      </c>
      <c r="K14" s="11" t="inlineStr">
        <is>
          <t>No</t>
        </is>
      </c>
    </row>
    <row r="15" ht="69.95" customHeight="1">
      <c r="A15" s="5" t="inlineStr">
        <is>
          <t>TC-I14</t>
        </is>
      </c>
      <c r="B15" s="2" t="inlineStr">
        <is>
          <t>SC-I07</t>
        </is>
      </c>
      <c r="C15" s="3" t="inlineStr">
        <is>
          <t>Xem thông tin lương của nhân viên</t>
        </is>
      </c>
      <c r="D15" s="3" t="inlineStr">
        <is>
          <t>Admin/HR đã đăng nhập và có quyền truy cập lương</t>
        </is>
      </c>
      <c r="E15" s="3" t="inlineStr">
        <is>
          <t>1. Mở hồ sơ nhân viên
2. My Info &gt; Salary
3. Xem thành phần lương</t>
        </is>
      </c>
      <c r="F15" s="3" t="inlineStr">
        <is>
          <t>(Thông tin lương hiện tại)</t>
        </is>
      </c>
      <c r="G15" s="3" t="inlineStr">
        <is>
          <t>Thông tin lương hiển thị chính xác</t>
        </is>
      </c>
      <c r="H15" s="3" t="inlineStr">
        <is>
          <t>Salary info hiển thị đúng</t>
        </is>
      </c>
      <c r="I15" s="6" t="inlineStr">
        <is>
          <t>Pass</t>
        </is>
      </c>
      <c r="J15" s="2" t="inlineStr">
        <is>
          <t>Medium</t>
        </is>
      </c>
      <c r="K15" s="11" t="inlineStr">
        <is>
          <t>No</t>
        </is>
      </c>
    </row>
    <row r="16" ht="69.95" customHeight="1">
      <c r="A16" s="5" t="inlineStr">
        <is>
          <t>TC-I15</t>
        </is>
      </c>
      <c r="B16" s="2" t="inlineStr">
        <is>
          <t>SC-I07</t>
        </is>
      </c>
      <c r="C16" s="3" t="inlineStr">
        <is>
          <t>Thêm thành phần lương mới</t>
        </is>
      </c>
      <c r="D16" s="3" t="inlineStr">
        <is>
          <t>Admin đã đăng nhập</t>
        </is>
      </c>
      <c r="E16" s="3" t="inlineStr">
        <is>
          <t>1. Tab Salary &gt; Nhấn Add
2. Nhập Pay Grade, Frequency, Currency, Amount
3. Save</t>
        </is>
      </c>
      <c r="F16" s="3" t="inlineStr">
        <is>
          <t>Pay Grade: Grade 3
Frequency: Monthly
Currency: VND
Amount: 25,000,000</t>
        </is>
      </c>
      <c r="G16" s="3" t="inlineStr">
        <is>
          <t>Bản ghi lương được lưu thành công</t>
        </is>
      </c>
      <c r="H16" s="3" t="inlineStr">
        <is>
          <t>Salary component lưu thành công</t>
        </is>
      </c>
      <c r="I16" s="6" t="inlineStr">
        <is>
          <t>Pass</t>
        </is>
      </c>
      <c r="J16" s="2" t="inlineStr">
        <is>
          <t>High</t>
        </is>
      </c>
      <c r="K16" s="11" t="inlineStr">
        <is>
          <t>No</t>
        </is>
      </c>
    </row>
    <row r="17" ht="69.95" customHeight="1">
      <c r="A17" s="5" t="inlineStr">
        <is>
          <t>TC-I16</t>
        </is>
      </c>
      <c r="B17" s="2" t="inlineStr">
        <is>
          <t>SC-I08</t>
        </is>
      </c>
      <c r="C17" s="3" t="inlineStr">
        <is>
          <t>Đổi mật khẩu thành công</t>
        </is>
      </c>
      <c r="D17" s="3" t="inlineStr">
        <is>
          <t>Nhân viên đã đăng nhập</t>
        </is>
      </c>
      <c r="E17" s="3" t="inlineStr">
        <is>
          <t>1. My Info &gt; Change Password
2. Nhập current password
3. Nhập new password + confirm
4. Save</t>
        </is>
      </c>
      <c r="F17" s="3" t="inlineStr">
        <is>
          <t>Current: OldPass@123
New: NewPass@456
Confirm: NewPass@456</t>
        </is>
      </c>
      <c r="G17" s="3" t="inlineStr">
        <is>
          <t>Mật khẩu được đổi; yêu cầu đăng nhập lại với mật khẩu mới</t>
        </is>
      </c>
      <c r="H17" s="3" t="inlineStr">
        <is>
          <t>Đổi mật khẩu thành công</t>
        </is>
      </c>
      <c r="I17" s="6" t="inlineStr">
        <is>
          <t>Pass</t>
        </is>
      </c>
      <c r="J17" s="2" t="inlineStr">
        <is>
          <t>High</t>
        </is>
      </c>
      <c r="K17" s="10" t="inlineStr">
        <is>
          <t>Yes</t>
        </is>
      </c>
    </row>
    <row r="18" ht="69.95" customHeight="1">
      <c r="A18" s="5" t="inlineStr">
        <is>
          <t>TC-I17</t>
        </is>
      </c>
      <c r="B18" s="2" t="inlineStr">
        <is>
          <t>SC-I08</t>
        </is>
      </c>
      <c r="C18" s="3" t="inlineStr">
        <is>
          <t>Nhập sai mật khẩu hiện tại</t>
        </is>
      </c>
      <c r="D18" s="3" t="inlineStr">
        <is>
          <t>Nhân viên đã đăng nhập</t>
        </is>
      </c>
      <c r="E18" s="3" t="inlineStr">
        <is>
          <t>1. Change Password
2. Nhập current password sai
3. Save</t>
        </is>
      </c>
      <c r="F18" s="3" t="inlineStr">
        <is>
          <t>Current: WrongPass@999</t>
        </is>
      </c>
      <c r="G18" s="3" t="inlineStr">
        <is>
          <t>Báo lỗi: 'Current password is incorrect'</t>
        </is>
      </c>
      <c r="H18" s="3" t="inlineStr">
        <is>
          <t>Hệ thống báo lỗi mật khẩu cũ sai đúng</t>
        </is>
      </c>
      <c r="I18" s="6" t="inlineStr">
        <is>
          <t>Pass</t>
        </is>
      </c>
      <c r="J18" s="2" t="inlineStr">
        <is>
          <t>High</t>
        </is>
      </c>
      <c r="K18" s="10" t="inlineStr">
        <is>
          <t>Yes</t>
        </is>
      </c>
    </row>
    <row r="19" ht="69.95" customHeight="1">
      <c r="A19" s="5" t="inlineStr">
        <is>
          <t>TC-I18</t>
        </is>
      </c>
      <c r="B19" s="2" t="inlineStr">
        <is>
          <t>SC-I08</t>
        </is>
      </c>
      <c r="C19" s="3" t="inlineStr">
        <is>
          <t>Mật khẩu mới không khớp confirm</t>
        </is>
      </c>
      <c r="D19" s="3" t="inlineStr">
        <is>
          <t>Nhân viên đã đăng nhập</t>
        </is>
      </c>
      <c r="E19" s="3" t="inlineStr">
        <is>
          <t>1. Change Password
2. Nhập đúng current password
3. Nhập new ≠ confirm
4. Save</t>
        </is>
      </c>
      <c r="F19" s="3" t="inlineStr">
        <is>
          <t>New: NewPass@456
Confirm: NewPass@789</t>
        </is>
      </c>
      <c r="G19" s="3" t="inlineStr">
        <is>
          <t>Báo lỗi validation: 'Passwords do not match'</t>
        </is>
      </c>
      <c r="H19" s="3" t="inlineStr">
        <is>
          <t>Hệ thống báo lỗi không khớp đúng</t>
        </is>
      </c>
      <c r="I19" s="6" t="inlineStr">
        <is>
          <t>Pass</t>
        </is>
      </c>
      <c r="J19" s="2" t="inlineStr">
        <is>
          <t>Medium</t>
        </is>
      </c>
      <c r="K19" s="10" t="inlineStr">
        <is>
          <t>Yes</t>
        </is>
      </c>
    </row>
    <row r="20" ht="69.95" customHeight="1">
      <c r="A20" s="5" t="inlineStr">
        <is>
          <t>TC-I19</t>
        </is>
      </c>
      <c r="B20" s="2" t="inlineStr">
        <is>
          <t>SC-I09</t>
        </is>
      </c>
      <c r="C20" s="3" t="inlineStr">
        <is>
          <t>Upload ảnh đại diện hợp lệ</t>
        </is>
      </c>
      <c r="D20" s="3" t="inlineStr">
        <is>
          <t>Nhân viên đã đăng nhập</t>
        </is>
      </c>
      <c r="E20" s="3" t="inlineStr">
        <is>
          <t>1. My Info &gt; nhấn ảnh đại diện
2. Upload ảnh JPG &lt; 1MB
3. Save</t>
        </is>
      </c>
      <c r="F20" s="3" t="inlineStr">
        <is>
          <t>File: avatar.jpg (500KB)</t>
        </is>
      </c>
      <c r="G20" s="3" t="inlineStr">
        <is>
          <t>Ảnh được cập nhật; hiển thị trên profile và top menu</t>
        </is>
      </c>
      <c r="H20" s="3" t="inlineStr">
        <is>
          <t>Upload ảnh thành công</t>
        </is>
      </c>
      <c r="I20" s="6" t="inlineStr">
        <is>
          <t>Pass</t>
        </is>
      </c>
      <c r="J20" s="2" t="inlineStr">
        <is>
          <t>High</t>
        </is>
      </c>
      <c r="K20" s="11" t="inlineStr">
        <is>
          <t>No</t>
        </is>
      </c>
    </row>
    <row r="21" ht="69.95" customHeight="1">
      <c r="A21" s="5" t="inlineStr">
        <is>
          <t>TC-I20</t>
        </is>
      </c>
      <c r="B21" s="2" t="inlineStr">
        <is>
          <t>SC-I09</t>
        </is>
      </c>
      <c r="C21" s="3" t="inlineStr">
        <is>
          <t>Upload ảnh vượt giới hạn kích thước</t>
        </is>
      </c>
      <c r="D21" s="3" t="inlineStr">
        <is>
          <t>Nhân viên đã đăng nhập</t>
        </is>
      </c>
      <c r="E21" s="3" t="inlineStr">
        <is>
          <t>1. Nhấn ảnh đại diện
2. Upload ảnh &gt; 1MB
3. Save</t>
        </is>
      </c>
      <c r="F21" s="3" t="inlineStr">
        <is>
          <t>File: large_photo.jpg (3MB)</t>
        </is>
      </c>
      <c r="G21" s="3" t="inlineStr">
        <is>
          <t>Báo lỗi: 'File size exceeds the limit'</t>
        </is>
      </c>
      <c r="H21" s="3" t="inlineStr">
        <is>
          <t>Hệ thống không báo lỗi kích thước file → Fail</t>
        </is>
      </c>
      <c r="I21" s="6" t="inlineStr">
        <is>
          <t>Fail</t>
        </is>
      </c>
      <c r="J21" s="2" t="inlineStr">
        <is>
          <t>Medium</t>
        </is>
      </c>
      <c r="K21" s="11" t="inlineStr">
        <is>
          <t>No</t>
        </is>
      </c>
    </row>
    <row r="22" ht="69.95" customHeight="1">
      <c r="A22" s="5" t="inlineStr">
        <is>
          <t>TC-I21</t>
        </is>
      </c>
      <c r="B22" s="2" t="inlineStr">
        <is>
          <t>SC-I09</t>
        </is>
      </c>
      <c r="C22" s="3" t="inlineStr">
        <is>
          <t>Upload file không phải ảnh làm avatar</t>
        </is>
      </c>
      <c r="D22" s="3" t="inlineStr">
        <is>
          <t>Nhân viên đã đăng nhập</t>
        </is>
      </c>
      <c r="E22" s="3" t="inlineStr">
        <is>
          <t>1. Thử upload file PDF làm ảnh đại diện</t>
        </is>
      </c>
      <c r="F22" s="3" t="inlineStr">
        <is>
          <t>File: document.pdf</t>
        </is>
      </c>
      <c r="G22" s="3" t="inlineStr">
        <is>
          <t>Báo lỗi: 'Only image files are allowed (JPG, PNG, GIF)'</t>
        </is>
      </c>
      <c r="H22" s="3" t="inlineStr">
        <is>
          <t>Hệ thống không cho phép upload PDF làm avatar → Fail</t>
        </is>
      </c>
      <c r="I22" s="6" t="inlineStr">
        <is>
          <t>Fail</t>
        </is>
      </c>
      <c r="J22" s="2" t="inlineStr">
        <is>
          <t>Medium</t>
        </is>
      </c>
      <c r="K22" s="11" t="inlineStr">
        <is>
          <t>No</t>
        </is>
      </c>
    </row>
    <row r="23" ht="69.95" customHeight="1">
      <c r="A23" s="5" t="inlineStr">
        <is>
          <t>TC-I22</t>
        </is>
      </c>
      <c r="B23" s="2" t="inlineStr">
        <is>
          <t>SC-I10</t>
        </is>
      </c>
      <c r="C23" s="3" t="inlineStr">
        <is>
          <t>Thêm thông tin học vấn</t>
        </is>
      </c>
      <c r="D23" s="3" t="inlineStr">
        <is>
          <t>Nhân viên đã đăng nhập</t>
        </is>
      </c>
      <c r="E23" s="3" t="inlineStr">
        <is>
          <t>1. My Info &gt; Qualifications &gt; Education
2. Nhấn Add
3. Nhập Level, Institute, Year
4. Save</t>
        </is>
      </c>
      <c r="F23" s="3" t="inlineStr">
        <is>
          <t>Level: Bachelor
Institute: Đại học Bách Khoa
Year: 2017</t>
        </is>
      </c>
      <c r="G23" s="3" t="inlineStr">
        <is>
          <t>Thông tin học vấn được lưu; hiển thị trong danh sách</t>
        </is>
      </c>
      <c r="H23" s="3" t="inlineStr">
        <is>
          <t>Education lưu thành công</t>
        </is>
      </c>
      <c r="I23" s="6" t="inlineStr">
        <is>
          <t>Pass</t>
        </is>
      </c>
      <c r="J23" s="2" t="inlineStr">
        <is>
          <t>Medium</t>
        </is>
      </c>
      <c r="K23" s="11" t="inlineStr">
        <is>
          <t>No</t>
        </is>
      </c>
    </row>
    <row r="24" ht="69.95" customHeight="1">
      <c r="A24" s="5" t="inlineStr">
        <is>
          <t>TC-I23</t>
        </is>
      </c>
      <c r="B24" s="2" t="inlineStr">
        <is>
          <t>SC-I10</t>
        </is>
      </c>
      <c r="C24" s="3" t="inlineStr">
        <is>
          <t>Thêm kỹ năng chuyên môn</t>
        </is>
      </c>
      <c r="D24" s="3" t="inlineStr">
        <is>
          <t>Nhân viên đã đăng nhập</t>
        </is>
      </c>
      <c r="E24" s="3" t="inlineStr">
        <is>
          <t>1. Qualifications &gt; Skills
2. Nhấn Add
3. Chọn Skill, nhập Years of Experience
4. Save</t>
        </is>
      </c>
      <c r="F24" s="3" t="inlineStr">
        <is>
          <t>Skill: Python
Years: 4</t>
        </is>
      </c>
      <c r="G24" s="3" t="inlineStr">
        <is>
          <t>Kỹ năng được lưu; hiển thị trong phần Skills của nhân viên</t>
        </is>
      </c>
      <c r="H24" s="3" t="inlineStr">
        <is>
          <t>Skill lưu thành công</t>
        </is>
      </c>
      <c r="I24" s="6" t="inlineStr">
        <is>
          <t>Pass</t>
        </is>
      </c>
      <c r="J24" s="2" t="inlineStr">
        <is>
          <t>Low</t>
        </is>
      </c>
      <c r="K24" s="11" t="inlineStr">
        <is>
          <t>No</t>
        </is>
      </c>
    </row>
  </sheetData>
  <dataValidations count="1">
    <dataValidation sqref="I2 I3 I4 I5 I6 I7 I8 I9 I10 I11 I12 I13 I14 I15 I16 I17 I18 I19 I20 I21 I22 I23 I24" showDropDown="0" showInputMessage="0" showErrorMessage="0" allowBlank="0" type="list">
      <formula1>"Pass,Fail"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2026-03-29T04:23:46Z</dcterms:created>
  <dcterms:modified xmlns:dcterms="http://purl.org/dc/terms/" xmlns:xsi="http://www.w3.org/2001/XMLSchema-instance" xsi:type="dcterms:W3CDTF">2026-03-29T19:51:04Z</dcterms:modified>
  <cp:lastModifiedBy>Lê Hồng Công</cp:lastModifiedBy>
</cp:coreProperties>
</file>